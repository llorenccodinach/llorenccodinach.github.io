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<sst xmlns="http://schemas.openxmlformats.org/spreadsheetml/2006/main" count="5100" uniqueCount="2500">
  <si>
    <t xml:space="preserve">TARIFA -69% DTO.</t>
  </si>
  <si>
    <t xml:space="preserve">COSTE PORTES SEGÚN VOLUMEN (TABLA)</t>
  </si>
  <si>
    <t xml:space="preserve">PORTES PAGADOS 600€ (PENÍNSULA)</t>
  </si>
  <si>
    <t xml:space="preserve">1 paquete (Mensajeria): 8 euros</t>
  </si>
  <si>
    <r>
      <rPr>
        <sz val="10"/>
        <rFont val="Arial"/>
        <family val="2"/>
        <charset val="1"/>
      </rPr>
      <t xml:space="preserve">PEDIDO MÍNIMO (PORTES DEBIDOS) - 0</t>
    </r>
    <r>
      <rPr>
        <sz val="11"/>
        <color rgb="FFFF0000"/>
        <rFont val="Calibri"/>
        <family val="2"/>
        <charset val="1"/>
      </rPr>
      <t xml:space="preserve"> </t>
    </r>
  </si>
  <si>
    <t xml:space="preserve">½ palet 800x1200x1000: 35 euros</t>
  </si>
  <si>
    <t xml:space="preserve">PEDIDO MÍNIMO =EMB. MÍNIMO DE VENTA</t>
  </si>
  <si>
    <t xml:space="preserve">1 palet 800x 1200x2000: 45 euros.</t>
  </si>
  <si>
    <t xml:space="preserve">SIEMPRE CAJAS COMPLETAS </t>
  </si>
  <si>
    <t xml:space="preserve">TOTAL PEDIDO</t>
  </si>
  <si>
    <t xml:space="preserve">REFERENCIA</t>
  </si>
  <si>
    <t xml:space="preserve">CÓDIGO</t>
  </si>
  <si>
    <t xml:space="preserve">DESCRIPCION</t>
  </si>
  <si>
    <t xml:space="preserve">COD. GRUPO</t>
  </si>
  <si>
    <t xml:space="preserve">COD. EAN</t>
  </si>
  <si>
    <t xml:space="preserve">EMBALAJE MÍNIMO</t>
  </si>
  <si>
    <t xml:space="preserve">PVP 2023</t>
  </si>
  <si>
    <t xml:space="preserve">DTO. %</t>
  </si>
  <si>
    <t xml:space="preserve">NETO</t>
  </si>
  <si>
    <t xml:space="preserve">CAJAS</t>
  </si>
  <si>
    <t xml:space="preserve">CANTIDAD </t>
  </si>
  <si>
    <t xml:space="preserve">TOTAL</t>
  </si>
  <si>
    <t xml:space="preserve">TVM120</t>
  </si>
  <si>
    <t xml:space="preserve">E-EXOJO</t>
  </si>
  <si>
    <t xml:space="preserve">MODULO RECTO EXOLEÑA PREMIUM ø 120 mm L. 1000 mm</t>
  </si>
  <si>
    <t xml:space="preserve">TUBO</t>
  </si>
  <si>
    <t xml:space="preserve">TVM125</t>
  </si>
  <si>
    <t xml:space="preserve">MODULO RECTO EXOLEÑA PREMIUM ø 125 mm L. 1000 mm</t>
  </si>
  <si>
    <t xml:space="preserve">TVM130</t>
  </si>
  <si>
    <t xml:space="preserve">MODULO RECTO EXOLEÑA PREMIUM ø 130 mm L. 1000 mm</t>
  </si>
  <si>
    <t xml:space="preserve">TVM150</t>
  </si>
  <si>
    <t xml:space="preserve">MODULO RECTO EXOLEÑA PREMIUM ø 150 mm L. 1000 mm</t>
  </si>
  <si>
    <t xml:space="preserve">TVM180</t>
  </si>
  <si>
    <t xml:space="preserve">MODULO RECTO EXOLEÑA PREMIUM ø 180 mm L. 1000 mm</t>
  </si>
  <si>
    <t xml:space="preserve">TVM200</t>
  </si>
  <si>
    <t xml:space="preserve">MODULO RECTO EXOLEÑA PREMIUM ø 200 mm L. 1000 mm</t>
  </si>
  <si>
    <t xml:space="preserve">TVM12025</t>
  </si>
  <si>
    <t xml:space="preserve">MODULO RECTO EXOLEÑA PREMIUM ø 120 mm L. 250 mm</t>
  </si>
  <si>
    <t xml:space="preserve">TVM12525</t>
  </si>
  <si>
    <t xml:space="preserve">MODULO RECTO EXOLEÑA PREMIUM ø 125 mm L. 250 mm</t>
  </si>
  <si>
    <t xml:space="preserve">TVM13025</t>
  </si>
  <si>
    <t xml:space="preserve">MODULO RECTO EXOLEÑA PREMIUM ø 130 mm L. 250 mm</t>
  </si>
  <si>
    <t xml:space="preserve">TVM15025</t>
  </si>
  <si>
    <t xml:space="preserve">MODULO RECTO EXOLEÑA PREMIUM ø 150 mm L. 250 mm</t>
  </si>
  <si>
    <t xml:space="preserve">TVM18025</t>
  </si>
  <si>
    <t xml:space="preserve">MODULO RECTO EXOLEÑA PREMIUM ø 180 mm L. 250 mm</t>
  </si>
  <si>
    <t xml:space="preserve">TVM20025</t>
  </si>
  <si>
    <t xml:space="preserve">MODULO RECTO EXOLEÑA PREMIUM ø 200 mm L. 250 mm</t>
  </si>
  <si>
    <t xml:space="preserve">TVM12050</t>
  </si>
  <si>
    <t xml:space="preserve">MODULO RECTO EXOLEÑA PREMIUM ø 120 mm L. 500 mm</t>
  </si>
  <si>
    <t xml:space="preserve">TVM12550</t>
  </si>
  <si>
    <t xml:space="preserve">MODULO RECTO EXOLEÑA PREMIUM ø 125 mm L. 500 mm</t>
  </si>
  <si>
    <t xml:space="preserve">TVM13050</t>
  </si>
  <si>
    <t xml:space="preserve">MODULO RECTO EXOLEÑA PREMIUM ø 130 mm L. 500 mm</t>
  </si>
  <si>
    <t xml:space="preserve">TVM15050</t>
  </si>
  <si>
    <t xml:space="preserve">MODULO RECTO EXOLEÑA PREMIUM ø 150 mm L. 500 mm</t>
  </si>
  <si>
    <t xml:space="preserve">TVM18050</t>
  </si>
  <si>
    <t xml:space="preserve">MODULO RECTO EXOLEÑA PREMIUM ø 180 mm L. 500 mm</t>
  </si>
  <si>
    <t xml:space="preserve">TVM20050</t>
  </si>
  <si>
    <t xml:space="preserve">MODULO RECTO EXOLEÑA PREMIUM ø 200 mm L. 500 mm</t>
  </si>
  <si>
    <t xml:space="preserve">TVM12033L</t>
  </si>
  <si>
    <t xml:space="preserve">MOD RECTO EXOLEÑA PREMIUM ø 120 mm L. 330 mm C/REG</t>
  </si>
  <si>
    <t xml:space="preserve">TUBO LLAVE</t>
  </si>
  <si>
    <t xml:space="preserve">TVM12533L</t>
  </si>
  <si>
    <t xml:space="preserve">MOD RECTO EXOLEÑA PREMIUM ø 125 mm L. 330 mm C/REG</t>
  </si>
  <si>
    <t xml:space="preserve">TVM13033L</t>
  </si>
  <si>
    <t xml:space="preserve">MOD RECTO EXOLEÑA PREMIUM ø 130 mm L. 330 mm C/REG</t>
  </si>
  <si>
    <t xml:space="preserve">TVM15033L</t>
  </si>
  <si>
    <t xml:space="preserve">MOD RECTO EXOLEÑA PREMIUM ø 150 mm L. 330 mm C/REG</t>
  </si>
  <si>
    <t xml:space="preserve">TVM18033L</t>
  </si>
  <si>
    <t xml:space="preserve">MOD RECTO EXOLEÑA PREMIUM ø 180 mm L. 330 mm C/REG</t>
  </si>
  <si>
    <t xml:space="preserve">TVM20033L</t>
  </si>
  <si>
    <t xml:space="preserve">MOD RECTO EXOLEÑA PREMIUM ø 200 mm L. 330 mm C/REG</t>
  </si>
  <si>
    <t xml:space="preserve">TVM120R</t>
  </si>
  <si>
    <t xml:space="preserve">MOD INSPECCION EXOLEÑA PREMIUM ø 120 mm L. 1000 mm</t>
  </si>
  <si>
    <t xml:space="preserve">TVM125R</t>
  </si>
  <si>
    <t xml:space="preserve">MOD INSPECCION EXOLEÑA PREMIUM ø 125 mm L. 1000 mm</t>
  </si>
  <si>
    <t xml:space="preserve">TVM130R</t>
  </si>
  <si>
    <t xml:space="preserve">MOD INSPECCION EXOLEÑA PREMIUM ø 130 mm L. 1000 mm</t>
  </si>
  <si>
    <t xml:space="preserve">TVM150R</t>
  </si>
  <si>
    <t xml:space="preserve">MOD INSPECCION EXOLEÑA PREMIUM ø 150 mm L. 1000 mm</t>
  </si>
  <si>
    <t xml:space="preserve">TVM180R</t>
  </si>
  <si>
    <t xml:space="preserve">MOD INSPECCION EXOLEÑA PREMIUM ø 180 mm L. 1000 mm</t>
  </si>
  <si>
    <t xml:space="preserve">TVM200R</t>
  </si>
  <si>
    <t xml:space="preserve">MOD INSPECCION EXOLEÑA PREMIUM ø 200 mm L. 1000 mm</t>
  </si>
  <si>
    <t xml:space="preserve">ANTIVM120</t>
  </si>
  <si>
    <t xml:space="preserve">MODULO ANTICONDENSACION EXOLEÑA PREMIUM ø 120 mm</t>
  </si>
  <si>
    <t xml:space="preserve">ANTIGOTEO</t>
  </si>
  <si>
    <t xml:space="preserve">ANTIVM125</t>
  </si>
  <si>
    <t xml:space="preserve">MODULO ANTICONDENSACION EXOLEÑA PREMIUM ø 125 mm</t>
  </si>
  <si>
    <t xml:space="preserve">ANTIVM130</t>
  </si>
  <si>
    <t xml:space="preserve">MODULO ANTICONDENSACION EXOLEÑA PREMIUM ø 130 mm</t>
  </si>
  <si>
    <t xml:space="preserve">ANTIVM150</t>
  </si>
  <si>
    <t xml:space="preserve">MODULO ANTICONDENSACION EXOLEÑA PREMIUM ø 150 mm</t>
  </si>
  <si>
    <t xml:space="preserve">ANTIVM180</t>
  </si>
  <si>
    <t xml:space="preserve">MODULO ANTICONDENSACION EXOLEÑA PREMIUM ø 180 mm</t>
  </si>
  <si>
    <t xml:space="preserve">ANTIVM200</t>
  </si>
  <si>
    <t xml:space="preserve">MODULO ANTICONDENSACION EXOLEÑA PREMIUM ø 200 mm</t>
  </si>
  <si>
    <t xml:space="preserve">DEVM120</t>
  </si>
  <si>
    <t xml:space="preserve">MODULO EXT. EXOLEÑA PREMIUM ø 120 mm L. 330 mm</t>
  </si>
  <si>
    <t xml:space="preserve">DESLIZANTE</t>
  </si>
  <si>
    <t xml:space="preserve">DEVM125</t>
  </si>
  <si>
    <t xml:space="preserve">MODULO EXT. EXOLEÑA PREMIUM ø 125 mm L. 330 mm</t>
  </si>
  <si>
    <t xml:space="preserve">DEVM130</t>
  </si>
  <si>
    <t xml:space="preserve">MODULO EXT. EXOLEÑA PREMIUM ø 130 mm L. 330 mm</t>
  </si>
  <si>
    <t xml:space="preserve">DEVM150</t>
  </si>
  <si>
    <t xml:space="preserve">MODULO EXT. EXOLEÑA PREMIUM ø 150 mm L. 330 mm</t>
  </si>
  <si>
    <t xml:space="preserve">DEVM180</t>
  </si>
  <si>
    <t xml:space="preserve">MODULO EXT. EXOLEÑA PREMIUM ø 180 mm L. 330 mm</t>
  </si>
  <si>
    <t xml:space="preserve">DEVM200</t>
  </si>
  <si>
    <t xml:space="preserve">MODULO EXT. EXOLEÑA PREMIUM ø 200 mm L. 330 mm</t>
  </si>
  <si>
    <t xml:space="preserve">AVME120150</t>
  </si>
  <si>
    <t xml:space="preserve">AMPLIACION EXOLEÑA PREMIUM ø 120-150 mm</t>
  </si>
  <si>
    <t xml:space="preserve">AMPLIACION</t>
  </si>
  <si>
    <t xml:space="preserve">AVME125150</t>
  </si>
  <si>
    <t xml:space="preserve">AMPLIACION EXOLEÑA PREMIUM ø 125-150 mm</t>
  </si>
  <si>
    <t xml:space="preserve">AVME130150</t>
  </si>
  <si>
    <t xml:space="preserve">AMPLIACION EXOLEÑA PREMIUM ø 130-150 mm</t>
  </si>
  <si>
    <t xml:space="preserve">AVME180200</t>
  </si>
  <si>
    <t xml:space="preserve">AMPLIACION EXOLEÑA PREMIUM ø 180-200 mm</t>
  </si>
  <si>
    <t xml:space="preserve">AVME150180</t>
  </si>
  <si>
    <t xml:space="preserve">AMPLIACION EXOLEÑA PREMIUM ø 150-180 mm</t>
  </si>
  <si>
    <t xml:space="preserve">AVME150200</t>
  </si>
  <si>
    <t xml:space="preserve">AMPLIACION EXOLEÑA PREMIUM ø 150-200 mm</t>
  </si>
  <si>
    <t xml:space="preserve">CVMS12030</t>
  </si>
  <si>
    <t xml:space="preserve">CODO EXOLEÑA PREMIUM ø 120 mm a 30º</t>
  </si>
  <si>
    <t xml:space="preserve">CODO SECT</t>
  </si>
  <si>
    <t xml:space="preserve">CVMS12530</t>
  </si>
  <si>
    <t xml:space="preserve">CODO EXOLEÑA PREMIUM ø 125 mm a 30º</t>
  </si>
  <si>
    <t xml:space="preserve">CVMS13030</t>
  </si>
  <si>
    <t xml:space="preserve">CODO EXOLEÑA PREMIUM ø 130 mm a 30º</t>
  </si>
  <si>
    <t xml:space="preserve">CVMS15030</t>
  </si>
  <si>
    <t xml:space="preserve">CODO EXOLEÑA PREMIUM ø 150 mm a 30º</t>
  </si>
  <si>
    <t xml:space="preserve">CVMS18030</t>
  </si>
  <si>
    <t xml:space="preserve">CODO EXOLEÑA PREMIUM ø 180 mm a 30º</t>
  </si>
  <si>
    <t xml:space="preserve">CVMS20030</t>
  </si>
  <si>
    <t xml:space="preserve">CODO EXOLEÑA PREMIUM ø 200 mm a 30º</t>
  </si>
  <si>
    <t xml:space="preserve">CVMS12045</t>
  </si>
  <si>
    <t xml:space="preserve">CODO EXOLEÑA PREMIUM ø 120 mm a 45º</t>
  </si>
  <si>
    <t xml:space="preserve">CVMS12545</t>
  </si>
  <si>
    <t xml:space="preserve">CODO EXOLEÑA PREMIUM ø 125 mm a 45º</t>
  </si>
  <si>
    <t xml:space="preserve">CVMS13045</t>
  </si>
  <si>
    <t xml:space="preserve">CODO EXOLEÑA PREMIUM ø 130 mm a 45º</t>
  </si>
  <si>
    <t xml:space="preserve">CVMS15045</t>
  </si>
  <si>
    <t xml:space="preserve">CODO EXOLEÑA PREMIUM ø 150 mm a 45º</t>
  </si>
  <si>
    <t xml:space="preserve">CVMS18045</t>
  </si>
  <si>
    <t xml:space="preserve">CODO EXOLEÑA PREMIUM ø 180 mm a 45º</t>
  </si>
  <si>
    <t xml:space="preserve">CVMS20045</t>
  </si>
  <si>
    <t xml:space="preserve">CODO EXOLEÑA PREMIUM ø 200 mm a 45º</t>
  </si>
  <si>
    <t xml:space="preserve">CVMS12045R</t>
  </si>
  <si>
    <t xml:space="preserve">CODO INSPECCION EXOLEÑA PREMIUM ø 120 mm a 45º</t>
  </si>
  <si>
    <t xml:space="preserve">CVMS12545R</t>
  </si>
  <si>
    <t xml:space="preserve">CODO INSPECCION EXOLEÑA PREMIUM ø 125 mm a 45º</t>
  </si>
  <si>
    <t xml:space="preserve">CVMS13045R</t>
  </si>
  <si>
    <t xml:space="preserve">CODO INSPECCION EXOLEÑA PREMIUM ø 130 mm a 45º</t>
  </si>
  <si>
    <t xml:space="preserve">CVMS15045R</t>
  </si>
  <si>
    <t xml:space="preserve">CODO INSPECCION EXOLEÑA PREMIUM ø 150 mm a 45º</t>
  </si>
  <si>
    <t xml:space="preserve">CVMS18045R</t>
  </si>
  <si>
    <t xml:space="preserve">CODO INSPECCION EXOLEÑA PREMIUM ø 180 mm a 45º</t>
  </si>
  <si>
    <t xml:space="preserve">CVMS20045R</t>
  </si>
  <si>
    <t xml:space="preserve">CODO INSPECCION EXOLEÑA PREMIUM ø 200 mm a 45º</t>
  </si>
  <si>
    <t xml:space="preserve">CVMS12090</t>
  </si>
  <si>
    <t xml:space="preserve">CODO EXOLEÑA PREMIUM ø 120 mm a 90º</t>
  </si>
  <si>
    <t xml:space="preserve">CVMS12590</t>
  </si>
  <si>
    <t xml:space="preserve">CODO EXOLEÑA PREMIUM ø 125 mm a 90º</t>
  </si>
  <si>
    <t xml:space="preserve">CVMS13090</t>
  </si>
  <si>
    <t xml:space="preserve">CODO EXOLEÑA PREMIUM ø 130 mm a 90º</t>
  </si>
  <si>
    <t xml:space="preserve">CVMS15090</t>
  </si>
  <si>
    <t xml:space="preserve">CODO EXOLEÑA PREMIUM ø 150 mm a 90º</t>
  </si>
  <si>
    <t xml:space="preserve">CVMS18090</t>
  </si>
  <si>
    <t xml:space="preserve">CODO EXOLEÑA PREMIUM ø 180 mm a 90º</t>
  </si>
  <si>
    <t xml:space="preserve">CVMS20090</t>
  </si>
  <si>
    <t xml:space="preserve">CODO EXOLEÑA PREMIUM ø 200 mm a 90º</t>
  </si>
  <si>
    <t xml:space="preserve">CVMS12090R</t>
  </si>
  <si>
    <t xml:space="preserve">CODO INSPECCION EXOLEÑA PREMIUM ø 120 mm a 90º</t>
  </si>
  <si>
    <t xml:space="preserve">CVMS12590R</t>
  </si>
  <si>
    <t xml:space="preserve">CODO INSPECCION EXOLEÑA PREMIUM ø 125 mm a 90º</t>
  </si>
  <si>
    <t xml:space="preserve">CVMS13090R</t>
  </si>
  <si>
    <t xml:space="preserve">CODO INSPECCION EXOLEÑA PREMIUM ø 130 mm a 90º</t>
  </si>
  <si>
    <t xml:space="preserve">CVMS15090R</t>
  </si>
  <si>
    <t xml:space="preserve">CODO INSPECCION EXOLEÑA PREMIUM ø 150 mm a 90º</t>
  </si>
  <si>
    <t xml:space="preserve">CVMS18090R</t>
  </si>
  <si>
    <t xml:space="preserve">CODO INSPECCION EXOLEÑA PREMIUM ø 180 mm a 90º</t>
  </si>
  <si>
    <t xml:space="preserve">CVMS20090R</t>
  </si>
  <si>
    <t xml:space="preserve">CODO INSPECCION EXOLEÑA PREMIUM ø 200 mm a 90º</t>
  </si>
  <si>
    <t xml:space="preserve">CVMS12045D</t>
  </si>
  <si>
    <t xml:space="preserve">CODO EXOLEÑA PREMIUM ø 120 mm a 45º C/DESVIACION</t>
  </si>
  <si>
    <t xml:space="preserve">CVMS12545D</t>
  </si>
  <si>
    <t xml:space="preserve">CODO EXOLEÑA PREMIUM ø 125 mm a 45º C/DESVIACION</t>
  </si>
  <si>
    <t xml:space="preserve">CVMS13045D</t>
  </si>
  <si>
    <t xml:space="preserve">CODO EXOLEÑA PREMIUM ø 130 mm a 45º C/DESVIACION</t>
  </si>
  <si>
    <t xml:space="preserve">CVMS15045D</t>
  </si>
  <si>
    <t xml:space="preserve">CODO EXOLEÑA PREMIUM ø 150 mm a 45º C/DESVIACION</t>
  </si>
  <si>
    <t xml:space="preserve">CVMS18045D</t>
  </si>
  <si>
    <t xml:space="preserve">CODO EXOLEÑA PREMIUM ø 180 mm a 45º C/DESVIACION</t>
  </si>
  <si>
    <t xml:space="preserve">CVMS20045D</t>
  </si>
  <si>
    <t xml:space="preserve">CODO EXOLEÑA PREMIUM ø 200 mm a 45º C/DESVIACION</t>
  </si>
  <si>
    <t xml:space="preserve">CVMS12045DR</t>
  </si>
  <si>
    <t xml:space="preserve">CODO EXOLEÑA PREMIUM ø 120 mm a 45º C/DESV-EXT</t>
  </si>
  <si>
    <t xml:space="preserve">CVMS12545DR</t>
  </si>
  <si>
    <t xml:space="preserve">CODO EXOLEÑA PREMIUM ø 125 mm a 45º C/DESV-EXT</t>
  </si>
  <si>
    <t xml:space="preserve">CVMS13045DR</t>
  </si>
  <si>
    <t xml:space="preserve">CODO EXOLEÑA PREMIUM ø 130 mm a 45º C/DESV-EXT</t>
  </si>
  <si>
    <t xml:space="preserve">CVMS15045DR</t>
  </si>
  <si>
    <t xml:space="preserve">CODO EXOLEÑA PREMIUM ø 150 mm a 45º C/DESV-EXT</t>
  </si>
  <si>
    <t xml:space="preserve">CVMS18045DR</t>
  </si>
  <si>
    <t xml:space="preserve">CODO EXOLEÑA PREMIUM ø 180 mm a 45º C/DESV-EXT</t>
  </si>
  <si>
    <t xml:space="preserve">CVMS20045DR</t>
  </si>
  <si>
    <t xml:space="preserve">CODO EXOLEÑA PREMIUM ø 200 mm a 45º C/DESV-EXT</t>
  </si>
  <si>
    <t xml:space="preserve">TEVM12090</t>
  </si>
  <si>
    <t xml:space="preserve">TE EXOLEÑA PREMIUM ø 120 mm  a 90º</t>
  </si>
  <si>
    <t xml:space="preserve">TE</t>
  </si>
  <si>
    <t xml:space="preserve">TEVM12590</t>
  </si>
  <si>
    <t xml:space="preserve">TE EXOLEÑA PREMIUM ø 125 mm  a 90º</t>
  </si>
  <si>
    <t xml:space="preserve">TEVM13090</t>
  </si>
  <si>
    <t xml:space="preserve">TE EXOLEÑA PREMIUM ø 130 mm  a 90º</t>
  </si>
  <si>
    <t xml:space="preserve">TEVM15090</t>
  </si>
  <si>
    <t xml:space="preserve">TE EXOLEÑA PREMIUM ø 150 mm  a 90º</t>
  </si>
  <si>
    <t xml:space="preserve">TEVM18090</t>
  </si>
  <si>
    <t xml:space="preserve">TE EXOLEÑA PREMIUM ø 180 mm  a 90º</t>
  </si>
  <si>
    <t xml:space="preserve">TEVM20090</t>
  </si>
  <si>
    <t xml:space="preserve">TE EXOLEÑA PREMIUM ø 200 mm  a 90º</t>
  </si>
  <si>
    <t xml:space="preserve">TAVM120</t>
  </si>
  <si>
    <t xml:space="preserve">COLECTOR EXOLEÑA PREMIUM ø 120 mm  </t>
  </si>
  <si>
    <t xml:space="preserve">TAPA</t>
  </si>
  <si>
    <t xml:space="preserve">TAVM125</t>
  </si>
  <si>
    <t xml:space="preserve">COLECTOR EXOLEÑA PREMIUM ø 125 mm  </t>
  </si>
  <si>
    <t xml:space="preserve">TAVM130</t>
  </si>
  <si>
    <t xml:space="preserve">COLECTOR EXOLEÑA PREMIUM ø 130 mm  </t>
  </si>
  <si>
    <t xml:space="preserve">TAVM150</t>
  </si>
  <si>
    <t xml:space="preserve">COLECTOR EXOLEÑA PREMIUM ø 150 mm  </t>
  </si>
  <si>
    <t xml:space="preserve">TAVM180</t>
  </si>
  <si>
    <t xml:space="preserve">COLECTOR EXOLEÑA PREMIUM ø 180 mm  </t>
  </si>
  <si>
    <t xml:space="preserve">TAVM200</t>
  </si>
  <si>
    <t xml:space="preserve">COLECTOR EXOLEÑA PREMIUM ø 200 mm  </t>
  </si>
  <si>
    <t xml:space="preserve">ETIRO150</t>
  </si>
  <si>
    <t xml:space="preserve">ESTABILIZADOR DE TIRO ø 150 mm</t>
  </si>
  <si>
    <t xml:space="preserve">ESTABIL</t>
  </si>
  <si>
    <t xml:space="preserve">ABVMA120</t>
  </si>
  <si>
    <t xml:space="preserve">SOPORTE MURAL EXOLEÑA PREMIUM ø 120 mm</t>
  </si>
  <si>
    <t xml:space="preserve">ABRAZ.MURA</t>
  </si>
  <si>
    <t xml:space="preserve">ABVMA125</t>
  </si>
  <si>
    <t xml:space="preserve">SOPORTE MURAL EXOLEÑA PREMIUM ø 125 mm</t>
  </si>
  <si>
    <t xml:space="preserve">ABVMA130</t>
  </si>
  <si>
    <t xml:space="preserve">SOPORTE MURAL EXOLEÑA PREMIUM ø 130 mm</t>
  </si>
  <si>
    <t xml:space="preserve">ABVMA150</t>
  </si>
  <si>
    <t xml:space="preserve">SOPORTE MURAL EXOLEÑA PREMIUM ø 150 mm</t>
  </si>
  <si>
    <t xml:space="preserve">ABVMA180</t>
  </si>
  <si>
    <t xml:space="preserve">SOPORTE MURAL EXOLEÑA PREMIUM ø 180 mm</t>
  </si>
  <si>
    <t xml:space="preserve">ABVMA200</t>
  </si>
  <si>
    <t xml:space="preserve">SOPORTE MURAL EXOLEÑA PREMIUM ø 200 mm</t>
  </si>
  <si>
    <t xml:space="preserve">MVM120</t>
  </si>
  <si>
    <t xml:space="preserve">MANGUITO UNION EXOLEÑA PREMIUM M-M ø 120 mm</t>
  </si>
  <si>
    <t xml:space="preserve">MANGUITO</t>
  </si>
  <si>
    <t xml:space="preserve">MVM125</t>
  </si>
  <si>
    <t xml:space="preserve">MANGUITO UNION EXOLEÑA PREMIUM M-M ø 125 mm</t>
  </si>
  <si>
    <t xml:space="preserve">MVM130</t>
  </si>
  <si>
    <t xml:space="preserve">MANGUITO UNION EXOLEÑA PREMIUM M-M ø 130 mm</t>
  </si>
  <si>
    <t xml:space="preserve">MVM150</t>
  </si>
  <si>
    <t xml:space="preserve">MANGUITO UNION EXOLEÑA PREMIUM M-M ø 150 mm</t>
  </si>
  <si>
    <t xml:space="preserve">MVM180</t>
  </si>
  <si>
    <t xml:space="preserve">MANGUITO UNION EXOLEÑA PREMIUM M-M ø 180 mm</t>
  </si>
  <si>
    <t xml:space="preserve">MVM200</t>
  </si>
  <si>
    <t xml:space="preserve">MANGUITO UNION EXOLEÑA PREMIUM M-M ø 200 mm</t>
  </si>
  <si>
    <t xml:space="preserve">MVMH120</t>
  </si>
  <si>
    <t xml:space="preserve">MANGUITO UNION EXOLEÑA PREMIUM H-H ø 120 mm</t>
  </si>
  <si>
    <t xml:space="preserve">MVMH125</t>
  </si>
  <si>
    <t xml:space="preserve">MANGUITO UNION EXOLEÑA PREMIUM H-H ø 125 mm</t>
  </si>
  <si>
    <t xml:space="preserve">MVMH130</t>
  </si>
  <si>
    <t xml:space="preserve">MANGUITO UNION EXOLEÑA PREMIUM H-H ø 130 mm</t>
  </si>
  <si>
    <t xml:space="preserve">MVMH150</t>
  </si>
  <si>
    <t xml:space="preserve">MANGUITO UNION EXOLEÑA PREMIUM H-H ø 150 mm</t>
  </si>
  <si>
    <t xml:space="preserve">MVMH180</t>
  </si>
  <si>
    <t xml:space="preserve">MANGUITO UNION EXOLEÑA PREMIUM H-H ø 180 mm</t>
  </si>
  <si>
    <t xml:space="preserve">MVMH200</t>
  </si>
  <si>
    <t xml:space="preserve">MANGUITO UNION EXOLEÑA PREMIUM H-H ø 200 mm</t>
  </si>
  <si>
    <t xml:space="preserve">PM120</t>
  </si>
  <si>
    <t xml:space="preserve">PLAFON EXOLEÑA PREMIUM ø 120 mm</t>
  </si>
  <si>
    <t xml:space="preserve">PLAFON</t>
  </si>
  <si>
    <t xml:space="preserve">PM125</t>
  </si>
  <si>
    <t xml:space="preserve">PLAFON EXOLEÑA PREMIUM ø 125 mm</t>
  </si>
  <si>
    <t xml:space="preserve">PM130</t>
  </si>
  <si>
    <t xml:space="preserve">PLAFON EXOLEÑA PREMIUM ø 130 mm</t>
  </si>
  <si>
    <t xml:space="preserve">PM150</t>
  </si>
  <si>
    <t xml:space="preserve">PLAFON EXOLEÑA PREMIUM ø 150 mm</t>
  </si>
  <si>
    <t xml:space="preserve">PM180</t>
  </si>
  <si>
    <t xml:space="preserve">PLAFON EXOLEÑA PREMIUM ø 180 mm</t>
  </si>
  <si>
    <t xml:space="preserve">PM200</t>
  </si>
  <si>
    <t xml:space="preserve">PLAFON EXOLEÑA PREMIUM ø 200 mm</t>
  </si>
  <si>
    <t xml:space="preserve">SVM120</t>
  </si>
  <si>
    <t xml:space="preserve">TERMINAL CHINO EXOLEÑA PREMIUM ø 120 mm</t>
  </si>
  <si>
    <t xml:space="preserve">SOMB CHINO</t>
  </si>
  <si>
    <t xml:space="preserve">SVM125</t>
  </si>
  <si>
    <t xml:space="preserve">TERMINAL CHINO EXOLEÑA PREMIUM ø 125 mm</t>
  </si>
  <si>
    <t xml:space="preserve">SVM130</t>
  </si>
  <si>
    <t xml:space="preserve">TERMINAL CHINO EXOLEÑA PREMIUM ø 130 mm</t>
  </si>
  <si>
    <t xml:space="preserve">SVM150</t>
  </si>
  <si>
    <t xml:space="preserve">TERMINAL CHINO EXOLEÑA PREMIUM ø 150 mm</t>
  </si>
  <si>
    <t xml:space="preserve">SVM180</t>
  </si>
  <si>
    <t xml:space="preserve">TERMINAL CHINO EXOLEÑA PREMIUM ø 180 mm</t>
  </si>
  <si>
    <t xml:space="preserve">SVM200</t>
  </si>
  <si>
    <t xml:space="preserve">TERMINAL CHINO EXOLEÑA PREMIUM ø 200 mm</t>
  </si>
  <si>
    <t xml:space="preserve">AVM120</t>
  </si>
  <si>
    <t xml:space="preserve">TERMINAL ANTIRREVOCANTE EXOLEÑA PREMIUM ø 120 mm</t>
  </si>
  <si>
    <t xml:space="preserve">SOMB ANTI</t>
  </si>
  <si>
    <t xml:space="preserve">AVM125</t>
  </si>
  <si>
    <t xml:space="preserve">TERMINAL ANTIRREVOCANTE EXOLEÑA PREMIUM ø 125 mm</t>
  </si>
  <si>
    <t xml:space="preserve">AVM130</t>
  </si>
  <si>
    <t xml:space="preserve">TERMINAL ANTIRREVOCANTE EXOLEÑA PREMIUM ø 130 mm</t>
  </si>
  <si>
    <t xml:space="preserve">AVM150</t>
  </si>
  <si>
    <t xml:space="preserve">TERMINAL ANTIRREVOCANTE EXOLEÑA PREMIUM ø 150 mm</t>
  </si>
  <si>
    <t xml:space="preserve">AVM180</t>
  </si>
  <si>
    <t xml:space="preserve">TERMINAL ANTIRREVOCANTE EXOLEÑA PREMIUM ø 180 mm</t>
  </si>
  <si>
    <t xml:space="preserve">AVM200</t>
  </si>
  <si>
    <t xml:space="preserve">TERMINAL ANTIRREVOCANTE EXOLEÑA PREMIUM ø 200 mm</t>
  </si>
  <si>
    <t xml:space="preserve">SPSENOTHERM</t>
  </si>
  <si>
    <t xml:space="preserve">SPRAY SENOTHERM BLACK 400 cc</t>
  </si>
  <si>
    <t xml:space="preserve">WEILBURGER</t>
  </si>
  <si>
    <t xml:space="preserve">TV100</t>
  </si>
  <si>
    <t xml:space="preserve">MODULO RECTO EXOLEÑA ø 100 mm L. 1000 mm</t>
  </si>
  <si>
    <t xml:space="preserve">TV110</t>
  </si>
  <si>
    <t xml:space="preserve">MODULO RECTO EXOLEÑA ø 110 mm L. 1000 mm</t>
  </si>
  <si>
    <t xml:space="preserve">TV120</t>
  </si>
  <si>
    <t xml:space="preserve">MODULO RECTO EXOLEÑA ø 120 mm L. 1000 mm</t>
  </si>
  <si>
    <t xml:space="preserve">TV125</t>
  </si>
  <si>
    <t xml:space="preserve">MODULO RECTO EXOLEÑA ø 125 mm L. 1000 mm</t>
  </si>
  <si>
    <t xml:space="preserve">TV150</t>
  </si>
  <si>
    <t xml:space="preserve">MODULO RECTO EXOLEÑA ø 150 mm L. 1000 mm</t>
  </si>
  <si>
    <t xml:space="preserve">TV175</t>
  </si>
  <si>
    <t xml:space="preserve">MODULO RECTO EXOLEÑA ø 175 mm L. 1000 mm</t>
  </si>
  <si>
    <t xml:space="preserve">TV180</t>
  </si>
  <si>
    <t xml:space="preserve">MODULO RECTO EXOLEÑA ø 180 mm L. 1000 mm</t>
  </si>
  <si>
    <t xml:space="preserve">TV200</t>
  </si>
  <si>
    <t xml:space="preserve">MODULO RECTO EXOLEÑA ø 200 mm L. 1000 mm</t>
  </si>
  <si>
    <t xml:space="preserve">TV250</t>
  </si>
  <si>
    <t xml:space="preserve">MODULO RECTO EXOLEÑA ø 250 mm L. 1000 mm</t>
  </si>
  <si>
    <t xml:space="preserve">TV300</t>
  </si>
  <si>
    <t xml:space="preserve">MODULO RECTO EXOLEÑA ø 300 mm L. 1000 mm</t>
  </si>
  <si>
    <t xml:space="preserve">TV100L</t>
  </si>
  <si>
    <t xml:space="preserve">MODULO RECTO EXOLEÑA ø 100 mm L. 1000 mm C/REG. </t>
  </si>
  <si>
    <t xml:space="preserve">TV110L</t>
  </si>
  <si>
    <t xml:space="preserve">MODULO RECTO EXOLEÑA ø 110 mm L. 1000 mm C/REG. </t>
  </si>
  <si>
    <t xml:space="preserve">TV120L</t>
  </si>
  <si>
    <t xml:space="preserve">MODULO RECTO EXOLEÑA ø 120 mm L. 1000 mm C/REG. </t>
  </si>
  <si>
    <t xml:space="preserve">TV125L</t>
  </si>
  <si>
    <t xml:space="preserve">MODULO RECTO EXOLEÑA ø 125 mm L. 1000 mm C/REG. </t>
  </si>
  <si>
    <t xml:space="preserve">TV150L</t>
  </si>
  <si>
    <t xml:space="preserve">MODULO RECTO EXOLEÑA ø 150 mm L. 1000 mm C/REG.</t>
  </si>
  <si>
    <t xml:space="preserve">DEV120</t>
  </si>
  <si>
    <t xml:space="preserve">MODULO EXTENSIBLE EXOLEÑA ø 120 mm L. 330 mm</t>
  </si>
  <si>
    <t xml:space="preserve">DEV150</t>
  </si>
  <si>
    <t xml:space="preserve">MODULO EXTENSIBLE EXOLEÑA ø 150 mm L. 330 mm</t>
  </si>
  <si>
    <t xml:space="preserve">DEV200</t>
  </si>
  <si>
    <t xml:space="preserve">MODULO EXTENSIBLE EXOLEÑA ø 200 mm L. 330 mm</t>
  </si>
  <si>
    <t xml:space="preserve">ANTIV100</t>
  </si>
  <si>
    <t xml:space="preserve">MODULO ANTICONDENSACION EXOLEÑA ø 100 mm</t>
  </si>
  <si>
    <t xml:space="preserve">ANTIV110</t>
  </si>
  <si>
    <t xml:space="preserve">MODULO ANTICONDENSACION EXOLEÑA ø 110 mm</t>
  </si>
  <si>
    <t xml:space="preserve">ANTIV120</t>
  </si>
  <si>
    <t xml:space="preserve">MODULO ANTICONDENSACION EXOLEÑA ø 120 mm</t>
  </si>
  <si>
    <t xml:space="preserve">ANTIV125</t>
  </si>
  <si>
    <t xml:space="preserve">MODULO ANTICONDENSACION EXOLEÑA ø 125 mm</t>
  </si>
  <si>
    <t xml:space="preserve">ANTIV150</t>
  </si>
  <si>
    <t xml:space="preserve">MODULO ANTICONDENSACION EXOLEÑA ø 150 mm</t>
  </si>
  <si>
    <t xml:space="preserve">ANTIV175</t>
  </si>
  <si>
    <t xml:space="preserve">MODULO ANTICONDENSACION EXOLEÑA ø 175 mm</t>
  </si>
  <si>
    <t xml:space="preserve">ANTIV180</t>
  </si>
  <si>
    <t xml:space="preserve">MODULO ANTICONDENSACION EXOLEÑA ø 180 mm</t>
  </si>
  <si>
    <t xml:space="preserve">ANTIV200</t>
  </si>
  <si>
    <t xml:space="preserve">MODULO ANTICONDENSACION EXOLEÑA ø 200 mm</t>
  </si>
  <si>
    <t xml:space="preserve">ANTIV250</t>
  </si>
  <si>
    <t xml:space="preserve">MODULO ANTICONDENSACION EXOLEÑA ø 250 mm</t>
  </si>
  <si>
    <t xml:space="preserve">ANTIV300</t>
  </si>
  <si>
    <t xml:space="preserve">MODULO ANTICONDENSACION EXOLEÑA ø 300 mm</t>
  </si>
  <si>
    <t xml:space="preserve">CVS15030</t>
  </si>
  <si>
    <t xml:space="preserve">CODO EXOLEÑA ø 150 mm a 30º</t>
  </si>
  <si>
    <t xml:space="preserve">CVS15045</t>
  </si>
  <si>
    <t xml:space="preserve">CODO EXOLEÑA ø 150 mm a 45º</t>
  </si>
  <si>
    <t xml:space="preserve">CVS15060</t>
  </si>
  <si>
    <t xml:space="preserve">CODO EXOLEÑA ø 150 mm a 60º</t>
  </si>
  <si>
    <t xml:space="preserve">CVS15090</t>
  </si>
  <si>
    <t xml:space="preserve">CODO EXOLEÑA ø 150 mm a 90º</t>
  </si>
  <si>
    <t xml:space="preserve">CVS17530</t>
  </si>
  <si>
    <t xml:space="preserve">CODO EXOLEÑA ø 175 mm a 30º</t>
  </si>
  <si>
    <t xml:space="preserve">CVS17545</t>
  </si>
  <si>
    <t xml:space="preserve">CODO EXOLEÑA ø 175 mm a 45º</t>
  </si>
  <si>
    <t xml:space="preserve">CVS17560</t>
  </si>
  <si>
    <t xml:space="preserve">CODO EXOLEÑA ø 175 mm a 60º</t>
  </si>
  <si>
    <t xml:space="preserve">CVS17590</t>
  </si>
  <si>
    <t xml:space="preserve">CODO EXOLEÑA ø 175 mm a 90º</t>
  </si>
  <si>
    <t xml:space="preserve">CVS18030</t>
  </si>
  <si>
    <t xml:space="preserve">CODO EXOLEÑA ø 180 mm a 30º</t>
  </si>
  <si>
    <t xml:space="preserve">CVS18045</t>
  </si>
  <si>
    <t xml:space="preserve">CODO EXOLEÑA ø 180 mm a 45º</t>
  </si>
  <si>
    <t xml:space="preserve">CVS18060</t>
  </si>
  <si>
    <t xml:space="preserve">CODO EXOLEÑA ø 180 mm a 60º</t>
  </si>
  <si>
    <t xml:space="preserve">CVS18090</t>
  </si>
  <si>
    <t xml:space="preserve">CODO EXOLEÑA ø 180 mm a 90º</t>
  </si>
  <si>
    <t xml:space="preserve">CVS20030</t>
  </si>
  <si>
    <t xml:space="preserve">CODO EXOLEÑA ø 200 mm a 30º</t>
  </si>
  <si>
    <t xml:space="preserve">CVS20045</t>
  </si>
  <si>
    <t xml:space="preserve">CODO EXOLEÑA ø 200 mm a 45º</t>
  </si>
  <si>
    <t xml:space="preserve">CVS20060</t>
  </si>
  <si>
    <t xml:space="preserve">CODO EXOLEÑA ø 200 mm a 60º</t>
  </si>
  <si>
    <t xml:space="preserve">CVS20090</t>
  </si>
  <si>
    <t xml:space="preserve">CODO EXOLEÑA ø 200 mm a 90º</t>
  </si>
  <si>
    <t xml:space="preserve">CVS25030</t>
  </si>
  <si>
    <t xml:space="preserve">CODO EXOLEÑA ø 250 mm a 30º</t>
  </si>
  <si>
    <t xml:space="preserve">CVS25045</t>
  </si>
  <si>
    <t xml:space="preserve">CODO EXOLEÑA ø 250 mm a 45º</t>
  </si>
  <si>
    <t xml:space="preserve">CVS25060</t>
  </si>
  <si>
    <t xml:space="preserve">CODO EXOLEÑA ø 250 mm a 60º</t>
  </si>
  <si>
    <t xml:space="preserve">CVS25090</t>
  </si>
  <si>
    <t xml:space="preserve">CODO EXOLEÑA ø 250 mm a 90º</t>
  </si>
  <si>
    <t xml:space="preserve">CVS30030</t>
  </si>
  <si>
    <t xml:space="preserve">CODO EXOLEÑA ø 300 mm a 30º</t>
  </si>
  <si>
    <t xml:space="preserve">CVS30045</t>
  </si>
  <si>
    <t xml:space="preserve">CODO EXOLEÑA ø 300 mm a 45º</t>
  </si>
  <si>
    <t xml:space="preserve">CVS30060</t>
  </si>
  <si>
    <t xml:space="preserve">CODO EXOLEÑA ø 300 mm a 60º</t>
  </si>
  <si>
    <t xml:space="preserve">CVS30090</t>
  </si>
  <si>
    <t xml:space="preserve">CODO EXOLEÑA ø 300 mm a 90º</t>
  </si>
  <si>
    <t xml:space="preserve">CV10045</t>
  </si>
  <si>
    <t xml:space="preserve">CODO RIZADO EXOLEÑA ø 100 mm a 45º</t>
  </si>
  <si>
    <t xml:space="preserve">CODO RIZ</t>
  </si>
  <si>
    <t xml:space="preserve">CV10090</t>
  </si>
  <si>
    <t xml:space="preserve">CODO RIZADO EXOLEÑA ø 100 mm a 90º</t>
  </si>
  <si>
    <t xml:space="preserve">CV11045</t>
  </si>
  <si>
    <t xml:space="preserve">CODO RIZADO EXOLEÑA ø 110 mm a 45º</t>
  </si>
  <si>
    <t xml:space="preserve">CV11090</t>
  </si>
  <si>
    <t xml:space="preserve">CODO RIZADO EXOLEÑA ø 110 mm a 90º</t>
  </si>
  <si>
    <t xml:space="preserve">CV12045</t>
  </si>
  <si>
    <t xml:space="preserve">CODO RIZADO EXOLEÑA ø 120 mm a 45º</t>
  </si>
  <si>
    <t xml:space="preserve">CV12090</t>
  </si>
  <si>
    <t xml:space="preserve">CODO RIZADO EXOLEÑA ø 120 mm a 90º</t>
  </si>
  <si>
    <t xml:space="preserve">CV12545</t>
  </si>
  <si>
    <t xml:space="preserve">CODO RIZADO EXOLEÑA ø 125 mm a 45º</t>
  </si>
  <si>
    <t xml:space="preserve">CV12590</t>
  </si>
  <si>
    <t xml:space="preserve">CODO RIZADO EXOLEÑA ø 125 mm a 90º</t>
  </si>
  <si>
    <t xml:space="preserve">CV15045</t>
  </si>
  <si>
    <t xml:space="preserve">CODO RIZADO EXOLEÑA ø 150 mm a 45º</t>
  </si>
  <si>
    <t xml:space="preserve">CV15090</t>
  </si>
  <si>
    <t xml:space="preserve">CODO RIZADO EXOLEÑA ø 150 mm a 90º</t>
  </si>
  <si>
    <t xml:space="preserve">TEV10090</t>
  </si>
  <si>
    <t xml:space="preserve">TE EXOLEÑA ø 100 mm  a 90º</t>
  </si>
  <si>
    <t xml:space="preserve">TEV11090</t>
  </si>
  <si>
    <t xml:space="preserve">TE EXOLEÑA ø 110 mm  a 90º</t>
  </si>
  <si>
    <t xml:space="preserve">TEV12090</t>
  </si>
  <si>
    <t xml:space="preserve">TE EXOLEÑA ø 120 mm  a 90º</t>
  </si>
  <si>
    <t xml:space="preserve">TEV12590</t>
  </si>
  <si>
    <t xml:space="preserve">TE EXOLEÑA ø 125 mm  a 90º</t>
  </si>
  <si>
    <t xml:space="preserve">TEV15090</t>
  </si>
  <si>
    <t xml:space="preserve">TE EXOLEÑA ø 150 mm  a 90º</t>
  </si>
  <si>
    <t xml:space="preserve">TEV17590</t>
  </si>
  <si>
    <t xml:space="preserve">TE EXOLEÑA ø 175 mm  a 90º</t>
  </si>
  <si>
    <t xml:space="preserve">TEV18090</t>
  </si>
  <si>
    <t xml:space="preserve">TE EXOLEÑA ø 180 mm  a 90º</t>
  </si>
  <si>
    <t xml:space="preserve">TEV20090</t>
  </si>
  <si>
    <t xml:space="preserve">TE EXOLEÑA ø 200 mm  a 90º</t>
  </si>
  <si>
    <t xml:space="preserve">TEV25090</t>
  </si>
  <si>
    <t xml:space="preserve">TE EXOLEÑA ø 250 mm  a 90º</t>
  </si>
  <si>
    <t xml:space="preserve">TEV30090</t>
  </si>
  <si>
    <t xml:space="preserve">TE EXOLEÑA ø 300 mm  a 90º</t>
  </si>
  <si>
    <t xml:space="preserve">TAV100</t>
  </si>
  <si>
    <t xml:space="preserve">COLECTOR EXOLEÑA ø 100 mm</t>
  </si>
  <si>
    <t xml:space="preserve">TAV110</t>
  </si>
  <si>
    <t xml:space="preserve">COLECTOR EXOLEÑA ø 110 mm</t>
  </si>
  <si>
    <t xml:space="preserve">TAV120</t>
  </si>
  <si>
    <t xml:space="preserve">COLECTOR EXOLEÑA ø 120 mm</t>
  </si>
  <si>
    <t xml:space="preserve">TAV125</t>
  </si>
  <si>
    <t xml:space="preserve">COLECTOR EXOLEÑA ø 125 mm</t>
  </si>
  <si>
    <t xml:space="preserve">TAV150</t>
  </si>
  <si>
    <t xml:space="preserve">COLECTOR EXOLEÑA ø 150 mm</t>
  </si>
  <si>
    <t xml:space="preserve">TAV175</t>
  </si>
  <si>
    <t xml:space="preserve">COLECTOR EXOLEÑA ø 175 mm</t>
  </si>
  <si>
    <t xml:space="preserve">TAV180</t>
  </si>
  <si>
    <t xml:space="preserve">COLECTOR EXOLEÑA ø 180 mm</t>
  </si>
  <si>
    <t xml:space="preserve">TAV200</t>
  </si>
  <si>
    <t xml:space="preserve">COLECTOR EXOLEÑA ø 200 mm</t>
  </si>
  <si>
    <t xml:space="preserve">TAV250</t>
  </si>
  <si>
    <t xml:space="preserve">COLECTOR EXOLEÑA ø 250 mm</t>
  </si>
  <si>
    <t xml:space="preserve">TAV300</t>
  </si>
  <si>
    <t xml:space="preserve">COLECTOR EXOLEÑA ø 300 mm</t>
  </si>
  <si>
    <t xml:space="preserve">AVE100110</t>
  </si>
  <si>
    <t xml:space="preserve">AMPLIACION EXOLEÑA ø 100 (M)-110 (H) mm</t>
  </si>
  <si>
    <t xml:space="preserve">AVE100120</t>
  </si>
  <si>
    <t xml:space="preserve">AMPLIACION EXOLEÑA ø 100 (M)-120 (H) mm</t>
  </si>
  <si>
    <t xml:space="preserve">AVE110120</t>
  </si>
  <si>
    <t xml:space="preserve">AMPLIACION EXOLEÑA ø 110 (M)-120 (H) mm</t>
  </si>
  <si>
    <t xml:space="preserve">AVE120125</t>
  </si>
  <si>
    <t xml:space="preserve">AMPLIACION EXOLEÑA ø 120 (M)-125 (H) mm</t>
  </si>
  <si>
    <t xml:space="preserve">AVE120130</t>
  </si>
  <si>
    <t xml:space="preserve">AMPLIACION EXOLEÑA ø 120 (M)-130 (H) mm</t>
  </si>
  <si>
    <t xml:space="preserve">AVE120150</t>
  </si>
  <si>
    <t xml:space="preserve">AMPLIACION EXOLEÑA ø 120 (M)-150 (H) mm</t>
  </si>
  <si>
    <t xml:space="preserve">AVE125150</t>
  </si>
  <si>
    <t xml:space="preserve">AMPLIACION EXOLEÑA ø 125 (M)-150 (H) mm</t>
  </si>
  <si>
    <t xml:space="preserve">AVE150175</t>
  </si>
  <si>
    <t xml:space="preserve">AMPLIACION EXOLEÑA ø 150 (M)-175 (H) mm</t>
  </si>
  <si>
    <t xml:space="preserve">AVE150200</t>
  </si>
  <si>
    <t xml:space="preserve">AMPLIACION EXOLEÑA ø 150 (M)-200 (H) mm</t>
  </si>
  <si>
    <t xml:space="preserve">AVE175180</t>
  </si>
  <si>
    <t xml:space="preserve">AMPLIACION EXOLEÑA ø 175 (M)-180 (H) mm</t>
  </si>
  <si>
    <t xml:space="preserve">AVE175200</t>
  </si>
  <si>
    <t xml:space="preserve">AMPLIACION EXOLEÑA ø 175 (M)-200 (H) mm</t>
  </si>
  <si>
    <t xml:space="preserve">AVE200250</t>
  </si>
  <si>
    <t xml:space="preserve">AMPLIACION EXOLEÑA ø 200 (M)-250 (H) mm</t>
  </si>
  <si>
    <t xml:space="preserve">AVE200300</t>
  </si>
  <si>
    <t xml:space="preserve">AMPLIACION EXOLEÑA ø 200 (M)-300 (H) mm</t>
  </si>
  <si>
    <t xml:space="preserve">AVE250300</t>
  </si>
  <si>
    <t xml:space="preserve">AMPLIACION EXOLEÑA ø 250 (M)-300 (H) mm</t>
  </si>
  <si>
    <t xml:space="preserve">MV100</t>
  </si>
  <si>
    <t xml:space="preserve">MANGUITO UNION EXOLEÑA M-M ø 100 mm</t>
  </si>
  <si>
    <t xml:space="preserve">MV110</t>
  </si>
  <si>
    <t xml:space="preserve">MANGUITO UNION EXOLEÑA M-M ø 110 mm</t>
  </si>
  <si>
    <t xml:space="preserve">MV120</t>
  </si>
  <si>
    <t xml:space="preserve">MANGUITO UNION EXOLEÑA M-M ø 120 mm</t>
  </si>
  <si>
    <t xml:space="preserve">MV125</t>
  </si>
  <si>
    <t xml:space="preserve">MANGUITO UNION EXOLEÑA M-M ø 125 mm</t>
  </si>
  <si>
    <t xml:space="preserve">MV150</t>
  </si>
  <si>
    <t xml:space="preserve">MANGUITO UNION EXOLEÑA M-M ø 150 mm</t>
  </si>
  <si>
    <t xml:space="preserve">MV175</t>
  </si>
  <si>
    <t xml:space="preserve">MANGUITO UNION EXOLEÑA M-M ø 175 mm</t>
  </si>
  <si>
    <t xml:space="preserve">MV180</t>
  </si>
  <si>
    <t xml:space="preserve">MANGUITO UNION EXOLEÑA M-M ø 180 mm</t>
  </si>
  <si>
    <t xml:space="preserve">MV200</t>
  </si>
  <si>
    <t xml:space="preserve">MANGUITO UNION EXOLEÑA M-M ø 200 mm</t>
  </si>
  <si>
    <t xml:space="preserve">MV250</t>
  </si>
  <si>
    <t xml:space="preserve">MANGUITO UNION EXOLEÑA M-M ø 250 mm</t>
  </si>
  <si>
    <t xml:space="preserve">MV300</t>
  </si>
  <si>
    <t xml:space="preserve">MANGUITO UNION EXOLEÑA M-M ø 300 mm</t>
  </si>
  <si>
    <t xml:space="preserve">MVH100</t>
  </si>
  <si>
    <t xml:space="preserve">MANGUITO UNION EXOLEÑA H-H ø 100 mm</t>
  </si>
  <si>
    <t xml:space="preserve">MVH110</t>
  </si>
  <si>
    <t xml:space="preserve">MANGUITO UNION EXOLEÑA H-H ø 110 mm</t>
  </si>
  <si>
    <t xml:space="preserve">MVH120</t>
  </si>
  <si>
    <t xml:space="preserve">MANGUITO UNION EXOLEÑA H-H ø 120 mm</t>
  </si>
  <si>
    <t xml:space="preserve">MVH125</t>
  </si>
  <si>
    <t xml:space="preserve">MANGUITO UNION EXOLEÑA H-H ø 125 mm</t>
  </si>
  <si>
    <t xml:space="preserve">MVH150</t>
  </si>
  <si>
    <t xml:space="preserve">MANGUITO UNION EXOLEÑA H-H ø 150 mm</t>
  </si>
  <si>
    <t xml:space="preserve">MVH175</t>
  </si>
  <si>
    <t xml:space="preserve">MANGUITO UNION EXOLEÑA H-H ø 175 mm</t>
  </si>
  <si>
    <t xml:space="preserve">MVH180</t>
  </si>
  <si>
    <t xml:space="preserve">MANGUITO UNION EXOLEÑA H-H ø 180 mm</t>
  </si>
  <si>
    <t xml:space="preserve">MVH200</t>
  </si>
  <si>
    <t xml:space="preserve">MANGUITO UNION EXOLEÑA H-H ø 200 mm</t>
  </si>
  <si>
    <t xml:space="preserve">MVH250</t>
  </si>
  <si>
    <t xml:space="preserve">MANGUITO UNION EXOLEÑA H-H ø 250 mm</t>
  </si>
  <si>
    <t xml:space="preserve">MVH300</t>
  </si>
  <si>
    <t xml:space="preserve">MANGUITO UNION EXOLEÑA H-H ø 300 mm</t>
  </si>
  <si>
    <t xml:space="preserve">PV100</t>
  </si>
  <si>
    <t xml:space="preserve">PLAFON EXOLEÑA ø 100 mm</t>
  </si>
  <si>
    <t xml:space="preserve">PV110</t>
  </si>
  <si>
    <t xml:space="preserve">PLAFON EXOLEÑA ø 110 mm</t>
  </si>
  <si>
    <t xml:space="preserve">PV120</t>
  </si>
  <si>
    <t xml:space="preserve">PLAFON EXOLEÑA ø 120 mm</t>
  </si>
  <si>
    <t xml:space="preserve">PV125</t>
  </si>
  <si>
    <t xml:space="preserve">PLAFON EXOLEÑA ø 125 mm</t>
  </si>
  <si>
    <t xml:space="preserve">PV150</t>
  </si>
  <si>
    <t xml:space="preserve">PLAFON EXOLEÑA ø 150 mm</t>
  </si>
  <si>
    <t xml:space="preserve">PV175</t>
  </si>
  <si>
    <t xml:space="preserve">PLAFON EXOLEÑA ø 175 mm</t>
  </si>
  <si>
    <t xml:space="preserve">PV180</t>
  </si>
  <si>
    <t xml:space="preserve">PLAFON EXOLEÑA ø 180 mm</t>
  </si>
  <si>
    <t xml:space="preserve">PV200</t>
  </si>
  <si>
    <t xml:space="preserve">PLAFON EXOLEÑA ø 200 mm</t>
  </si>
  <si>
    <t xml:space="preserve">PV250</t>
  </si>
  <si>
    <t xml:space="preserve">PLAFON EXOLEÑA ø 250 mm</t>
  </si>
  <si>
    <t xml:space="preserve">ABVA100</t>
  </si>
  <si>
    <t xml:space="preserve">SOPORTE MURAL EXOLEÑA ø 100 mm</t>
  </si>
  <si>
    <t xml:space="preserve">ABRAZ.ATOR</t>
  </si>
  <si>
    <t xml:space="preserve">ABVA110</t>
  </si>
  <si>
    <t xml:space="preserve">SOPORTE MURAL EXOLEÑA ø 110 mm</t>
  </si>
  <si>
    <t xml:space="preserve">ABVA125</t>
  </si>
  <si>
    <t xml:space="preserve">SOPORTE MURAL EXOLEÑA ø 120-125 mm</t>
  </si>
  <si>
    <t xml:space="preserve">ABVA150</t>
  </si>
  <si>
    <t xml:space="preserve">SOPORTE MURAL EXOLEÑA ø 150 mm</t>
  </si>
  <si>
    <t xml:space="preserve">ABVA175</t>
  </si>
  <si>
    <t xml:space="preserve">SOPORTE MURAL EXOLEÑA ø 175-180 mm</t>
  </si>
  <si>
    <t xml:space="preserve">ABVA200</t>
  </si>
  <si>
    <t xml:space="preserve">SOPORTE MURAL EXOLEÑA ø 200 mm</t>
  </si>
  <si>
    <t xml:space="preserve">ABVA250</t>
  </si>
  <si>
    <t xml:space="preserve">SOPORTE MURAL EXOLEÑA ø 250 mm</t>
  </si>
  <si>
    <t xml:space="preserve">ABVA300</t>
  </si>
  <si>
    <t xml:space="preserve">SOPORTE MURAL EXOLEÑA ø 300 mm</t>
  </si>
  <si>
    <t xml:space="preserve">ABVM8100</t>
  </si>
  <si>
    <t xml:space="preserve">SOPORTE M8 EXOLEÑA ø 100 mm</t>
  </si>
  <si>
    <t xml:space="preserve">ABRAZ.M-8</t>
  </si>
  <si>
    <t xml:space="preserve">ABVM8110</t>
  </si>
  <si>
    <t xml:space="preserve">SOPORTE M8 EXOLEÑA ø 110 mm</t>
  </si>
  <si>
    <t xml:space="preserve">ABVM8125</t>
  </si>
  <si>
    <t xml:space="preserve">SOPORTE M8 EXOLEÑA ø 120-125 mm</t>
  </si>
  <si>
    <t xml:space="preserve">ABVM8150</t>
  </si>
  <si>
    <t xml:space="preserve">SOPORTE M8 EXOLEÑA ø 150 mm</t>
  </si>
  <si>
    <t xml:space="preserve">ABVM8175</t>
  </si>
  <si>
    <t xml:space="preserve">SOPORTE M8 EXOLEÑA ø 175-180 mm</t>
  </si>
  <si>
    <t xml:space="preserve">ABVM8200</t>
  </si>
  <si>
    <t xml:space="preserve">SOPORTE M8 EXOLEÑA ø 200 mm</t>
  </si>
  <si>
    <t xml:space="preserve">ABVM8250</t>
  </si>
  <si>
    <t xml:space="preserve">SOPORTE M8 EXOLEÑA ø 250 mm</t>
  </si>
  <si>
    <t xml:space="preserve">ABVM8300</t>
  </si>
  <si>
    <t xml:space="preserve">SOPORTE M8 EXOLEÑA ø 300 mm</t>
  </si>
  <si>
    <t xml:space="preserve">SV100</t>
  </si>
  <si>
    <t xml:space="preserve">TERMINAL CHINO EXOLEÑA ø 100 mm</t>
  </si>
  <si>
    <t xml:space="preserve">SV110</t>
  </si>
  <si>
    <t xml:space="preserve">TERMINAL CHINO EXOLEÑA ø 110 mm</t>
  </si>
  <si>
    <t xml:space="preserve">SV120</t>
  </si>
  <si>
    <t xml:space="preserve">TERMINAL CHINO EXOLEÑA ø 120 mm</t>
  </si>
  <si>
    <t xml:space="preserve">SV125</t>
  </si>
  <si>
    <t xml:space="preserve">TERMINAL CHINO EXOLEÑA ø 125 mm</t>
  </si>
  <si>
    <t xml:space="preserve">SV150</t>
  </si>
  <si>
    <t xml:space="preserve">TERMINAL CHINO EXOLEÑA ø 150 mm</t>
  </si>
  <si>
    <t xml:space="preserve">SV175</t>
  </si>
  <si>
    <t xml:space="preserve">TERMINAL CHINO EXOLEÑA ø 175 mm</t>
  </si>
  <si>
    <t xml:space="preserve">SV180</t>
  </si>
  <si>
    <t xml:space="preserve">TERMINAL CHINO EXOLEÑA ø 180 mm</t>
  </si>
  <si>
    <t xml:space="preserve">SV200</t>
  </si>
  <si>
    <t xml:space="preserve">TERMINAL CHINO EXOLEÑA ø 200 mm</t>
  </si>
  <si>
    <t xml:space="preserve">SV250</t>
  </si>
  <si>
    <t xml:space="preserve">TERMINAL CHINO EXOLEÑA ø 250 mm</t>
  </si>
  <si>
    <t xml:space="preserve">SV300</t>
  </si>
  <si>
    <t xml:space="preserve">TERMINAL CHINO EXOLEÑA ø 300 mm</t>
  </si>
  <si>
    <t xml:space="preserve">AV100</t>
  </si>
  <si>
    <t xml:space="preserve">TERMINAL ANTIRREVOCANTE EXOLEÑA ø 100 mm</t>
  </si>
  <si>
    <t xml:space="preserve">AV110</t>
  </si>
  <si>
    <t xml:space="preserve">TERMINAL ANTIRREVOCANTE EXOLEÑA ø 110 mm</t>
  </si>
  <si>
    <t xml:space="preserve">AV120</t>
  </si>
  <si>
    <t xml:space="preserve">TERMINAL ANTIRREVOCANTE EXOLEÑA ø 120 mm</t>
  </si>
  <si>
    <t xml:space="preserve">AV125</t>
  </si>
  <si>
    <t xml:space="preserve">TERMINAL ANTIRREVOCANTE EXOLEÑA ø 125 mm</t>
  </si>
  <si>
    <t xml:space="preserve">AV150</t>
  </si>
  <si>
    <t xml:space="preserve">TERMINAL ANTIRREVOCANTE EXOLEÑA ø 150 mm</t>
  </si>
  <si>
    <t xml:space="preserve">AV175</t>
  </si>
  <si>
    <t xml:space="preserve">TERMINAL ANTIRREVOCANTE EXOLEÑA ø 175 mm</t>
  </si>
  <si>
    <t xml:space="preserve">AV180</t>
  </si>
  <si>
    <t xml:space="preserve">TERMINAL ANTIRREVOCANTE EXOLEÑA ø 180 mm</t>
  </si>
  <si>
    <t xml:space="preserve">AV200</t>
  </si>
  <si>
    <t xml:space="preserve">TERMINAL ANTIRREVOCANTE EXOLEÑA ø 200 mm</t>
  </si>
  <si>
    <t xml:space="preserve">AV250</t>
  </si>
  <si>
    <t xml:space="preserve">TERMINAL ANTIRREVOCANTE EXOLEÑA ø 250 mm</t>
  </si>
  <si>
    <t xml:space="preserve">AV300</t>
  </si>
  <si>
    <t xml:space="preserve">TERMINAL ANTIRREVOCANTE EXOLEÑA ø 300 mm</t>
  </si>
  <si>
    <t xml:space="preserve">AV120A</t>
  </si>
  <si>
    <t xml:space="preserve">TERMINAL ANTIRREVOCANTE EXOLEÑA ø 120 mm C/ABRAZ.</t>
  </si>
  <si>
    <t xml:space="preserve">AV150A</t>
  </si>
  <si>
    <t xml:space="preserve">TERMINAL ANTIRREVOCANTE EXOLEÑA ø 150 mm C/ABRAZ.</t>
  </si>
  <si>
    <t xml:space="preserve">AV175A</t>
  </si>
  <si>
    <t xml:space="preserve">TERMINAL ANTIRREVOCANTE EXOLEÑA ø 175 mm C/ABRAZ.</t>
  </si>
  <si>
    <t xml:space="preserve">AV200A</t>
  </si>
  <si>
    <t xml:space="preserve">TERMINAL ANTIRREVOCANTE EXOLEÑA ø 200 mm C/ABRAZ.</t>
  </si>
  <si>
    <t xml:space="preserve">AV250A</t>
  </si>
  <si>
    <t xml:space="preserve">TERMINAL ANTIRREVOCANTE EXOLEÑA ø 250 mm C/ABRAZ.</t>
  </si>
  <si>
    <t xml:space="preserve">EV100</t>
  </si>
  <si>
    <t xml:space="preserve">TERMINAL EXTRACTOR EXOLEÑA ø 100 mm</t>
  </si>
  <si>
    <t xml:space="preserve">SOMB EXTRA</t>
  </si>
  <si>
    <t xml:space="preserve">EV110</t>
  </si>
  <si>
    <t xml:space="preserve">TERMINAL EXTRACTOR EXOLEÑA ø 110 mm</t>
  </si>
  <si>
    <t xml:space="preserve">EV120</t>
  </si>
  <si>
    <t xml:space="preserve">TERMINAL EXTRACTOR EXOLEÑA ø 120 mm</t>
  </si>
  <si>
    <t xml:space="preserve">EV125</t>
  </si>
  <si>
    <t xml:space="preserve">TERMINAL EXTRACTOR EXOLEÑA ø 125 mm</t>
  </si>
  <si>
    <t xml:space="preserve">EV150</t>
  </si>
  <si>
    <t xml:space="preserve">TERMINAL EXTRACTOR EXOLEÑA ø 150 mm</t>
  </si>
  <si>
    <t xml:space="preserve">EV175</t>
  </si>
  <si>
    <t xml:space="preserve">TERMINAL EXTRACTOR EXOLEÑA ø 175 mm</t>
  </si>
  <si>
    <t xml:space="preserve">EV200</t>
  </si>
  <si>
    <t xml:space="preserve">TERMINAL EXTRACTOR EXOLEÑA ø 200 mm</t>
  </si>
  <si>
    <t xml:space="preserve">EV250</t>
  </si>
  <si>
    <t xml:space="preserve">TERMINAL EXTRACTOR EXOLEÑA ø 250 mm</t>
  </si>
  <si>
    <t xml:space="preserve">EV300</t>
  </si>
  <si>
    <t xml:space="preserve">TERMINAL EXTRACTOR EXOLEÑA ø 300 mm</t>
  </si>
  <si>
    <t xml:space="preserve">PVT080</t>
  </si>
  <si>
    <t xml:space="preserve">MODULO RECTO EXOPELLET ø 80 mm L. 1000 mm</t>
  </si>
  <si>
    <t xml:space="preserve">PVT100</t>
  </si>
  <si>
    <t xml:space="preserve">MODULO RECTO EXOPELLET ø 100 mm L. 1000 mm</t>
  </si>
  <si>
    <t xml:space="preserve">PVT08050</t>
  </si>
  <si>
    <t xml:space="preserve">MODULO RECTO EXOPELLET ø 80 mm L. 500 mm</t>
  </si>
  <si>
    <t xml:space="preserve">PVT10050</t>
  </si>
  <si>
    <t xml:space="preserve">MODULO RECTO EXOPELLET ø 100 mm L. 500 mm</t>
  </si>
  <si>
    <t xml:space="preserve">PVT08025</t>
  </si>
  <si>
    <t xml:space="preserve">MODULO RECTO EXOPELLET ø 80 mm L. 250 mm</t>
  </si>
  <si>
    <t xml:space="preserve">PVT10025</t>
  </si>
  <si>
    <t xml:space="preserve">MODULO RECTO EXOPELLET ø 100 mm L. 250 mm</t>
  </si>
  <si>
    <t xml:space="preserve">PVT08015</t>
  </si>
  <si>
    <t xml:space="preserve">MODULO RECTO EXOPELLET ø 80 mm L. 150 mm</t>
  </si>
  <si>
    <t xml:space="preserve">PVT10015</t>
  </si>
  <si>
    <t xml:space="preserve">MODULO RECTO EXOPELLET ø 100 mm L. 150 mm</t>
  </si>
  <si>
    <t xml:space="preserve">PVTL080</t>
  </si>
  <si>
    <t xml:space="preserve">MODULO EXTENSIBLE EXOPELLET ø 80 mm L. 940 mm</t>
  </si>
  <si>
    <t xml:space="preserve">PVTL100</t>
  </si>
  <si>
    <t xml:space="preserve">MODULO EXTENSIBLE EXOPELLET ø 100 mm L. 940 mm</t>
  </si>
  <si>
    <t xml:space="preserve">PVTL08050</t>
  </si>
  <si>
    <t xml:space="preserve">MODULO EXTENSIBLE EXOPELLET ø 80 mm L. 540 mm</t>
  </si>
  <si>
    <t xml:space="preserve">PVTL10050</t>
  </si>
  <si>
    <t xml:space="preserve">MODULO EXTENSIBLE EXOPELLET ø 100 mm L. 540 mm</t>
  </si>
  <si>
    <t xml:space="preserve">PVA080100</t>
  </si>
  <si>
    <t xml:space="preserve">AMPLIACION EXOPELLET ø 80-100 mm</t>
  </si>
  <si>
    <t xml:space="preserve">PVR100080</t>
  </si>
  <si>
    <t xml:space="preserve">REDUCCION EXOPELLET ø 100-80 mm</t>
  </si>
  <si>
    <t xml:space="preserve">REDUCCION</t>
  </si>
  <si>
    <t xml:space="preserve">PVC08030</t>
  </si>
  <si>
    <t xml:space="preserve">CODO EXOPELLET ø 80 mm a 30º</t>
  </si>
  <si>
    <t xml:space="preserve">PVC10030</t>
  </si>
  <si>
    <t xml:space="preserve">CODO EXOPELLET ø 100 mm a 30º</t>
  </si>
  <si>
    <t xml:space="preserve">PVC08045</t>
  </si>
  <si>
    <t xml:space="preserve">CODO EXOPELLET ø 80 mm a 45º</t>
  </si>
  <si>
    <t xml:space="preserve">PVC10045</t>
  </si>
  <si>
    <t xml:space="preserve">CODO EXOPELLET ø 100 mm a 45º</t>
  </si>
  <si>
    <t xml:space="preserve">PVC08090</t>
  </si>
  <si>
    <t xml:space="preserve">CODO EXOPELLET ø 80 mm a 90º</t>
  </si>
  <si>
    <t xml:space="preserve">PVC10090</t>
  </si>
  <si>
    <t xml:space="preserve">CODO EXOPELLET ø 100 mm a 90º</t>
  </si>
  <si>
    <t xml:space="preserve">PVC080R</t>
  </si>
  <si>
    <t xml:space="preserve">CODO INSPECCION EXOPELLET ø 80 mm a 90º</t>
  </si>
  <si>
    <t xml:space="preserve">PVC100R</t>
  </si>
  <si>
    <t xml:space="preserve">CODO INSPECCION EXOPELLET ø 100 mm a 90º</t>
  </si>
  <si>
    <t xml:space="preserve">PVTE08090T</t>
  </si>
  <si>
    <t xml:space="preserve">TE EXOPELLET ø 80 mm a 90º C/ COLECTOR</t>
  </si>
  <si>
    <t xml:space="preserve">PVTE10090T</t>
  </si>
  <si>
    <t xml:space="preserve">TE EXOPELLET ø 100 mm a 90º C/ COLECTOR</t>
  </si>
  <si>
    <t xml:space="preserve">PVTE10008090</t>
  </si>
  <si>
    <t xml:space="preserve">TE EXOPELLET ø 100 mm a 90º C/INJERTO 80 mm</t>
  </si>
  <si>
    <t xml:space="preserve">ETIRO080</t>
  </si>
  <si>
    <t xml:space="preserve">ESTABILIZADOR DE TIRO ø 80 mm</t>
  </si>
  <si>
    <t xml:space="preserve">PVTA080</t>
  </si>
  <si>
    <t xml:space="preserve">COLECTOR EXOPELLET ø 80 mm</t>
  </si>
  <si>
    <t xml:space="preserve">PVTA100</t>
  </si>
  <si>
    <t xml:space="preserve">COLECTOR EXOPELLET ø 100 mm</t>
  </si>
  <si>
    <t xml:space="preserve">PVTA080S</t>
  </si>
  <si>
    <t xml:space="preserve">COLECTOR SILICONA EXOPELLET ø 80 mm</t>
  </si>
  <si>
    <t xml:space="preserve">JUNTA</t>
  </si>
  <si>
    <t xml:space="preserve">PVM080</t>
  </si>
  <si>
    <t xml:space="preserve">MANGUITO UNION EXOPELLET M-M ø 80 mm</t>
  </si>
  <si>
    <t xml:space="preserve">PVM100</t>
  </si>
  <si>
    <t xml:space="preserve">MANGUITO UNION EXOPELLET M-M ø 100 mm</t>
  </si>
  <si>
    <t xml:space="preserve">PVMH080</t>
  </si>
  <si>
    <t xml:space="preserve">MANGUITO UNION EXOPELLET H-H ø 80 mm</t>
  </si>
  <si>
    <t xml:space="preserve">PVMH100</t>
  </si>
  <si>
    <t xml:space="preserve">MANGUITO UNION EXOPELLET H-H ø 100 mm</t>
  </si>
  <si>
    <t xml:space="preserve">PVJS080</t>
  </si>
  <si>
    <t xml:space="preserve">JUNTA SILICONA ø 80 mm</t>
  </si>
  <si>
    <t xml:space="preserve">PVJS100</t>
  </si>
  <si>
    <t xml:space="preserve">JUNTA SILICONA ø 100 mm</t>
  </si>
  <si>
    <t xml:space="preserve">PV080</t>
  </si>
  <si>
    <t xml:space="preserve">PLAFON EXOPELLET ø 80 mm</t>
  </si>
  <si>
    <t xml:space="preserve">PVJSROSET080</t>
  </si>
  <si>
    <t xml:space="preserve">ROSETON SILICONA EXOPELLET ø 80 mm</t>
  </si>
  <si>
    <t xml:space="preserve">PVJSROSET100</t>
  </si>
  <si>
    <t xml:space="preserve">ROSETON SILICONA EXOPELLET ø 100 mm</t>
  </si>
  <si>
    <t xml:space="preserve">ABVMA080</t>
  </si>
  <si>
    <t xml:space="preserve">SOPORTE MURAL EXOPELLET ø 80 mm</t>
  </si>
  <si>
    <t xml:space="preserve">ABVMA100</t>
  </si>
  <si>
    <t xml:space="preserve">SOPORTE MURAL EXOPELLET ø 100 mm</t>
  </si>
  <si>
    <t xml:space="preserve">ABVM8080</t>
  </si>
  <si>
    <t xml:space="preserve">SOPORTE M8 EXOPELLET ø 80 mm</t>
  </si>
  <si>
    <t xml:space="preserve">ABVU080</t>
  </si>
  <si>
    <t xml:space="preserve">ABRAZADERA UNION EXOPELLET ø 80 mm</t>
  </si>
  <si>
    <t xml:space="preserve">ABZ. UNION</t>
  </si>
  <si>
    <t xml:space="preserve">ABVU100</t>
  </si>
  <si>
    <t xml:space="preserve">ABRAZADERA UNION EXOPELLET ø 100 mm</t>
  </si>
  <si>
    <t xml:space="preserve">PVTERC080</t>
  </si>
  <si>
    <t xml:space="preserve">TERMINAL CHINO EXOPELLET ø 80 mm</t>
  </si>
  <si>
    <t xml:space="preserve">PVTERC100</t>
  </si>
  <si>
    <t xml:space="preserve">TERMINAL CHINO EXOPELLET ø 100 mm</t>
  </si>
  <si>
    <t xml:space="preserve">PVTERA080</t>
  </si>
  <si>
    <t xml:space="preserve">TERMINAL ANTIRREVOCANTE EXOPELLET ø 80 mm</t>
  </si>
  <si>
    <t xml:space="preserve">PVTERA100</t>
  </si>
  <si>
    <t xml:space="preserve">TERMINAL ANTIRREVOCANTE EXOPELLET ø 100 mm</t>
  </si>
  <si>
    <t xml:space="preserve">PVTERHA080</t>
  </si>
  <si>
    <t xml:space="preserve">TERMINAL HORIZ-ANTILLUVIA EXOPELLET ø 80 mm</t>
  </si>
  <si>
    <t xml:space="preserve">SOMB DESCA</t>
  </si>
  <si>
    <t xml:space="preserve">PVTERHA100</t>
  </si>
  <si>
    <t xml:space="preserve">TERMINAL HORIZ-ANTILLUVIA EXOPELLET ø 100 mm</t>
  </si>
  <si>
    <t xml:space="preserve">PVTERD080</t>
  </si>
  <si>
    <t xml:space="preserve">TERMINAL DESCARGA EXOPELLET ø 80 mm</t>
  </si>
  <si>
    <t xml:space="preserve">PVTERD100</t>
  </si>
  <si>
    <t xml:space="preserve">TERMINAL DESCARGA EXOPELLET ø 100 mm</t>
  </si>
  <si>
    <t xml:space="preserve">PVTERL080</t>
  </si>
  <si>
    <t xml:space="preserve">TERMINAL LAMAS EXOPELLET ø 80 mm</t>
  </si>
  <si>
    <t xml:space="preserve">PVTERL100</t>
  </si>
  <si>
    <t xml:space="preserve">TERMINAL LAMAS EXOPELLET ø 100 mm</t>
  </si>
  <si>
    <t xml:space="preserve">PIT080</t>
  </si>
  <si>
    <t xml:space="preserve">MOD. RECTO EXOPELLET INOX 316L ø 80 mm L.1000 mm</t>
  </si>
  <si>
    <t xml:space="preserve">PIT100</t>
  </si>
  <si>
    <t xml:space="preserve">MOD. RECTO EXOPELLET INOX 316L ø 100 mm L. 1000 mm</t>
  </si>
  <si>
    <t xml:space="preserve">PIT08050</t>
  </si>
  <si>
    <t xml:space="preserve">MOD. RECTO EXOPELLET INOX 316L ø 80 mm L. 500 mm</t>
  </si>
  <si>
    <t xml:space="preserve">PIT10050</t>
  </si>
  <si>
    <t xml:space="preserve">MOD. RECTO EXOPELLET INOX 316L ø 100 mm L. 500 mm</t>
  </si>
  <si>
    <t xml:space="preserve">PIT08025</t>
  </si>
  <si>
    <t xml:space="preserve">MOD. RECTO EXOPELLET INOX 316L ø 80 mm L. 250 mm</t>
  </si>
  <si>
    <t xml:space="preserve">PIT10025</t>
  </si>
  <si>
    <t xml:space="preserve">MOD. RECTO EXOPELLET INOX 316L ø 100 mm L. 250 mm</t>
  </si>
  <si>
    <t xml:space="preserve">PITL080</t>
  </si>
  <si>
    <t xml:space="preserve">MODULO EXT. EXOPELLET INOX 316L ø 80 mm L. 940 mm</t>
  </si>
  <si>
    <t xml:space="preserve">PITL100</t>
  </si>
  <si>
    <t xml:space="preserve">MODULO EXT. EXOPELLET INOX 316L ø 100 mm L. 940 mm</t>
  </si>
  <si>
    <t xml:space="preserve">PITL08050</t>
  </si>
  <si>
    <t xml:space="preserve">MODULO EXT. EXOPELLET INOX 316L ø 80 mm L. 540 mm</t>
  </si>
  <si>
    <t xml:space="preserve">PITL10050</t>
  </si>
  <si>
    <t xml:space="preserve">MODULO EXT. EXOPELLET INOX 316L ø 100 mm L. 500 mm</t>
  </si>
  <si>
    <t xml:space="preserve">PIC08045</t>
  </si>
  <si>
    <t xml:space="preserve">CODO EXOPELLET INOX 316L ø 80 mm a 45º</t>
  </si>
  <si>
    <t xml:space="preserve">PIC10045</t>
  </si>
  <si>
    <t xml:space="preserve">CODO EXOPELLET INOX 316L ø 100 mm a 45º</t>
  </si>
  <si>
    <t xml:space="preserve">PIC08090</t>
  </si>
  <si>
    <t xml:space="preserve">CODO EXOPELLET INOX 316L ø 80 mm a 90º</t>
  </si>
  <si>
    <t xml:space="preserve">PIC10090</t>
  </si>
  <si>
    <t xml:space="preserve">CODO EXOPELLET INOX 316L ø 100 mm a 90º</t>
  </si>
  <si>
    <t xml:space="preserve">PITE08090T</t>
  </si>
  <si>
    <t xml:space="preserve">TE EXOPELLET INOX 316L ø 80 mm a 90º C/COLECTOR</t>
  </si>
  <si>
    <t xml:space="preserve">PITE10090T</t>
  </si>
  <si>
    <t xml:space="preserve">TE EXOPELLET INOX 316L ø 100 mm a 90º C/COLECTOR</t>
  </si>
  <si>
    <t xml:space="preserve">PITE10008090</t>
  </si>
  <si>
    <t xml:space="preserve">TE EXOPELLET INOX 316L ø 100 mm 90º C/INJERTO 80</t>
  </si>
  <si>
    <t xml:space="preserve">PITA080</t>
  </si>
  <si>
    <t xml:space="preserve">COLECTOR EXOPELLET INOX 316L ø 80 mm</t>
  </si>
  <si>
    <t xml:space="preserve">PITA100</t>
  </si>
  <si>
    <t xml:space="preserve">COLECTOR EXOPELLET INOX 316L ø 100 mm</t>
  </si>
  <si>
    <t xml:space="preserve">PIM080</t>
  </si>
  <si>
    <t xml:space="preserve">MANGUITO UNION EXOPELLET INOX 316L M-M ø 80 mm</t>
  </si>
  <si>
    <t xml:space="preserve">PIM100</t>
  </si>
  <si>
    <t xml:space="preserve">MANGUITO UNION EXOPELLET INOX 316L M-M ø 100 mm</t>
  </si>
  <si>
    <t xml:space="preserve">PIMH080</t>
  </si>
  <si>
    <t xml:space="preserve">MANGUITO UNION EXOPELLET INOX 316L H-H ø 80 mm</t>
  </si>
  <si>
    <t xml:space="preserve">PIMH100</t>
  </si>
  <si>
    <t xml:space="preserve">MANGUITO UNION EXOPELLET INOX 316L H-H ø 100 mm</t>
  </si>
  <si>
    <t xml:space="preserve">PIA080100</t>
  </si>
  <si>
    <t xml:space="preserve">AMPLIACION EXOPELLET INOX 316L ø 80-100 mm</t>
  </si>
  <si>
    <t xml:space="preserve">PI080</t>
  </si>
  <si>
    <t xml:space="preserve">PLAFON EXOPELLET INOX 316L  ø 80 mm</t>
  </si>
  <si>
    <t xml:space="preserve">PI100</t>
  </si>
  <si>
    <t xml:space="preserve">PLAFON EXOINOX SW 304 ø 100 mm</t>
  </si>
  <si>
    <t xml:space="preserve">ROSB080</t>
  </si>
  <si>
    <t xml:space="preserve">ROSETON SILICONA BLANCO ø 80 mm</t>
  </si>
  <si>
    <t xml:space="preserve">ROSB100</t>
  </si>
  <si>
    <t xml:space="preserve">ROSETON SILICONA BLANCO ø 100 mm</t>
  </si>
  <si>
    <t xml:space="preserve">ABIMA080</t>
  </si>
  <si>
    <t xml:space="preserve">SOPORTE MURAL EXOINOX SW 304 ø 80 mm</t>
  </si>
  <si>
    <t xml:space="preserve">ABIMA100</t>
  </si>
  <si>
    <t xml:space="preserve">SOPORTE MURAL EXOINOX SW 304 ø 100 mm</t>
  </si>
  <si>
    <t xml:space="preserve">ABIM8080</t>
  </si>
  <si>
    <t xml:space="preserve">SOPORTE M8 EXOINOX SW 304 ø 80 mm</t>
  </si>
  <si>
    <t xml:space="preserve">ABIM8100</t>
  </si>
  <si>
    <t xml:space="preserve">SOPORTE M8 EXOINOX SW 304 ø 100 mm</t>
  </si>
  <si>
    <t xml:space="preserve">ABIU080</t>
  </si>
  <si>
    <t xml:space="preserve">ABRAZADERA UNION EXOPELLET INOX 316L ø 80 mm</t>
  </si>
  <si>
    <t xml:space="preserve">ABRAZ.UNIO</t>
  </si>
  <si>
    <t xml:space="preserve">ABIU100</t>
  </si>
  <si>
    <t xml:space="preserve">ABRAZADERA UNION EXOPELLET INOX 316L ø 100 mm</t>
  </si>
  <si>
    <t xml:space="preserve">PITERC080</t>
  </si>
  <si>
    <t xml:space="preserve">TERMINAL CHINO EXOPELLET INOX 316L ø 80 mm</t>
  </si>
  <si>
    <t xml:space="preserve">PITERC100</t>
  </si>
  <si>
    <t xml:space="preserve">TERMINAL CHINO EXOPELLET INOX 316L ø 100 mm</t>
  </si>
  <si>
    <t xml:space="preserve">PITERA080</t>
  </si>
  <si>
    <t xml:space="preserve">TERMINAL ANTIRREVOC. EXOPELLET INOX 316L ø 80 mm</t>
  </si>
  <si>
    <t xml:space="preserve">PITERA100</t>
  </si>
  <si>
    <t xml:space="preserve">TERMINAL ANTIRREVOC. EXOPELLET INOX 316L ø 100 mm</t>
  </si>
  <si>
    <t xml:space="preserve">PITERHA080</t>
  </si>
  <si>
    <t xml:space="preserve">TERMINAL H-ANTILLUVIA EXOPELLET INOX 316L ø 80 mm</t>
  </si>
  <si>
    <t xml:space="preserve">PITERHA100</t>
  </si>
  <si>
    <t xml:space="preserve">TERMINAL H-ANTILLUVIA EXOPELLET INOX 316L ø 100 mm</t>
  </si>
  <si>
    <t xml:space="preserve">PITERD080</t>
  </si>
  <si>
    <t xml:space="preserve">TERMINAL DESCARGA EXOPELLET INOX 316L ø 80 mm</t>
  </si>
  <si>
    <t xml:space="preserve">PITERD100</t>
  </si>
  <si>
    <t xml:space="preserve">TERMINAL DESCARGA EXOPELLET INOX 316L ø 100 mm</t>
  </si>
  <si>
    <t xml:space="preserve">EXTMC080</t>
  </si>
  <si>
    <t xml:space="preserve">TE COAXIAL EXOINOX DW 316L ø 80 mm</t>
  </si>
  <si>
    <t xml:space="preserve">EXACMC080</t>
  </si>
  <si>
    <t xml:space="preserve">ADAPTADOR COAXIAL EXOINOX DW 316L ø 80 mm C/SAL 60</t>
  </si>
  <si>
    <t xml:space="preserve">ADAPTADOR</t>
  </si>
  <si>
    <t xml:space="preserve">EXACM080080316</t>
  </si>
  <si>
    <t xml:space="preserve">ADAPTADOR SIMPLE-DOBLE EXOINOX DW 316L ø 80 mm</t>
  </si>
  <si>
    <t xml:space="preserve">EXACM100100316</t>
  </si>
  <si>
    <t xml:space="preserve">ADAPTADOR SIMPLE-DOBLE EXOINOX DW 316L ø 100 mm</t>
  </si>
  <si>
    <t xml:space="preserve">COA080</t>
  </si>
  <si>
    <t xml:space="preserve">COLLARIN ANTILLUVIA EXOINOX SW 304 ø 80 mm</t>
  </si>
  <si>
    <t xml:space="preserve">COLLARIN</t>
  </si>
  <si>
    <t xml:space="preserve">COA100</t>
  </si>
  <si>
    <t xml:space="preserve">COLLARIN ANTILLUVIA EXOINOX SW 304 ø 100 mm</t>
  </si>
  <si>
    <t xml:space="preserve">CUI08030</t>
  </si>
  <si>
    <t xml:space="preserve">CUBREAGUAS PLOMO ø 80 mm DE 5º/30º</t>
  </si>
  <si>
    <t xml:space="preserve">CUBREAGUAS</t>
  </si>
  <si>
    <t xml:space="preserve">CUI10030</t>
  </si>
  <si>
    <t xml:space="preserve">CUBREAGUAS PLOMO ø 100 mm DE 5º/30º</t>
  </si>
  <si>
    <t xml:space="preserve">CUI08045</t>
  </si>
  <si>
    <t xml:space="preserve">CUBREAGUAS PLOMO ø 80 mm DE 30º/45º</t>
  </si>
  <si>
    <t xml:space="preserve">CUI10045</t>
  </si>
  <si>
    <t xml:space="preserve">CUBREAGUAS PLOMO ø 100 mm DE 30º/45º</t>
  </si>
  <si>
    <t xml:space="preserve">TI120</t>
  </si>
  <si>
    <t xml:space="preserve">MODULO RECTO EXOINOX SW 304 ø 120 mm L. 1000 mm</t>
  </si>
  <si>
    <t xml:space="preserve">TI150</t>
  </si>
  <si>
    <t xml:space="preserve">MODULO RECTO EXOINOX SW 304 ø 150 mm L. 1000 mm</t>
  </si>
  <si>
    <t xml:space="preserve">TI200</t>
  </si>
  <si>
    <t xml:space="preserve">MODULO RECTO EXOINOX SW 304 ø 200 mm L. 1000 mm</t>
  </si>
  <si>
    <t xml:space="preserve">TI130316</t>
  </si>
  <si>
    <t xml:space="preserve">MODULO RECTO EXOINOX SW 316L ø 130 mm L. 1000 mm</t>
  </si>
  <si>
    <t xml:space="preserve">TI150316</t>
  </si>
  <si>
    <t xml:space="preserve">MODULO RECTO EXOINOX SW 316L ø 150 mm L. 1000 mm</t>
  </si>
  <si>
    <t xml:space="preserve">TI180316</t>
  </si>
  <si>
    <t xml:space="preserve">MODULO RECTO EXOINOX SW 316L ø 180 mm L. 1000 mm</t>
  </si>
  <si>
    <t xml:space="preserve">TI200316</t>
  </si>
  <si>
    <t xml:space="preserve">MODULO RECTO EXOINOX SW 316L ø 200 mm L. 1000 mm</t>
  </si>
  <si>
    <t xml:space="preserve">TI250316</t>
  </si>
  <si>
    <t xml:space="preserve">MODULO RECTO EXOINOX SW 316L ø 250 mm L. 1000 mm</t>
  </si>
  <si>
    <t xml:space="preserve">TI300316</t>
  </si>
  <si>
    <t xml:space="preserve">MODULO RECTO EXOINOX SW 316L ø 300 mm L. 1000 mm</t>
  </si>
  <si>
    <t xml:space="preserve">TI13050316</t>
  </si>
  <si>
    <t xml:space="preserve">MODULO RECTO EXOINOX SW 316L ø 130 mm L. 500 mm</t>
  </si>
  <si>
    <t xml:space="preserve">TI15050316</t>
  </si>
  <si>
    <t xml:space="preserve">MODULO RECTO EXOINOX SW 316L ø 150 mm L. 500 mm</t>
  </si>
  <si>
    <t xml:space="preserve">TI18050316</t>
  </si>
  <si>
    <t xml:space="preserve">MODULO RECTO EXOINOX SW 316L ø 180 mm L. 500 mm</t>
  </si>
  <si>
    <t xml:space="preserve">TI20050316</t>
  </si>
  <si>
    <t xml:space="preserve">MODULO RECTO EXOINOX SW 316L ø 200 mm L. 500 mm</t>
  </si>
  <si>
    <t xml:space="preserve">TI25050316</t>
  </si>
  <si>
    <t xml:space="preserve">MODULO RECTO EXOINOX SW 316L ø 250 mm L. 500 mm</t>
  </si>
  <si>
    <t xml:space="preserve">TI30050316</t>
  </si>
  <si>
    <t xml:space="preserve">MODULO RECTO EXOINOX SW 316L ø 300 mm L. 500 mm</t>
  </si>
  <si>
    <t xml:space="preserve">TTI120316</t>
  </si>
  <si>
    <t xml:space="preserve">MODULO EXT. EXOINOX SW 316L ø 120 mm L. 940 mm</t>
  </si>
  <si>
    <t xml:space="preserve">TELESCOPIC</t>
  </si>
  <si>
    <t xml:space="preserve">TTI130316</t>
  </si>
  <si>
    <t xml:space="preserve">MODULO EXT. EXOINOX SW 316L ø 130 mm L. 940 mm</t>
  </si>
  <si>
    <t xml:space="preserve">TTI150316</t>
  </si>
  <si>
    <t xml:space="preserve">MODULO EXT. EXOINOX SW 316L ø 150 mm L. 940 mm</t>
  </si>
  <si>
    <t xml:space="preserve">TTI180316</t>
  </si>
  <si>
    <t xml:space="preserve">MODULO EXT. EXOINOX SW 316L ø 180 mm L. 940 mm</t>
  </si>
  <si>
    <t xml:space="preserve">TTI200316</t>
  </si>
  <si>
    <t xml:space="preserve">MODULO EXT. EXOINOX SW 316L ø 200 mm L. 940 mm</t>
  </si>
  <si>
    <t xml:space="preserve">TTI250316</t>
  </si>
  <si>
    <t xml:space="preserve">MODULO EXT. EXOINOX SW 316L ø 250 mm L. 940 mm</t>
  </si>
  <si>
    <t xml:space="preserve">TTI300316</t>
  </si>
  <si>
    <t xml:space="preserve">MODULO EXT. EXOINOX SW 316L ø 300 mm L. 940 mm</t>
  </si>
  <si>
    <t xml:space="preserve">ANTII120</t>
  </si>
  <si>
    <t xml:space="preserve">MODULO ANTICONDENSACION EXOINOX SW 316L ø 120 mm</t>
  </si>
  <si>
    <t xml:space="preserve">ANTII130</t>
  </si>
  <si>
    <t xml:space="preserve">MODULO ANTICONDENSACION EXOINOX SW 316L ø 130 mm</t>
  </si>
  <si>
    <t xml:space="preserve">ANTII150</t>
  </si>
  <si>
    <t xml:space="preserve">MODULO ANTICONDENSACION EXOINOX SW 316L ø 150 mm</t>
  </si>
  <si>
    <t xml:space="preserve">ANTII180</t>
  </si>
  <si>
    <t xml:space="preserve">MODULO ANTICONDENSACION EXOINOX SW 316L ø 180 mm</t>
  </si>
  <si>
    <t xml:space="preserve">ANTII200</t>
  </si>
  <si>
    <t xml:space="preserve">MODULO ANTICONDENSACION EXOINOX SW 316L ø 200 mm</t>
  </si>
  <si>
    <t xml:space="preserve">ANTII250</t>
  </si>
  <si>
    <t xml:space="preserve">MODULO ANTICONDENSACION EXOINOX SW 316L ø 250 mm</t>
  </si>
  <si>
    <t xml:space="preserve">ANTII300</t>
  </si>
  <si>
    <t xml:space="preserve">MODULO ANTICONDENSACION EXOINOX SW 316L ø 300 mm</t>
  </si>
  <si>
    <t xml:space="preserve">CIS12030</t>
  </si>
  <si>
    <t xml:space="preserve">CODO EXOINOX SW 304 ø 120 mm a 30º</t>
  </si>
  <si>
    <t xml:space="preserve">CIS15030</t>
  </si>
  <si>
    <t xml:space="preserve">CODO EXOINOX SW 304 ø 150 mm a 30º</t>
  </si>
  <si>
    <t xml:space="preserve">CIS20030</t>
  </si>
  <si>
    <t xml:space="preserve">CODO EXOINOX SW 304 ø 200 mm a 30º</t>
  </si>
  <si>
    <t xml:space="preserve">CIS12045</t>
  </si>
  <si>
    <t xml:space="preserve">CODO EXOINOX SW 304 ø 120 mm a 45º</t>
  </si>
  <si>
    <t xml:space="preserve">CIS12060</t>
  </si>
  <si>
    <t xml:space="preserve">CODO EXOINOX SW 304 ø 120 mm a 60º</t>
  </si>
  <si>
    <t xml:space="preserve">CIS12090</t>
  </si>
  <si>
    <t xml:space="preserve">CODO EXOINOX SW 304 ø 120 mm a 90º</t>
  </si>
  <si>
    <t xml:space="preserve">CIS15045</t>
  </si>
  <si>
    <t xml:space="preserve">CODO EXOINOX SW 304 ø 150 mm a 45º</t>
  </si>
  <si>
    <t xml:space="preserve">CIS15060</t>
  </si>
  <si>
    <t xml:space="preserve">CODO EXOINOX SW 304 ø 150 mm a 60º</t>
  </si>
  <si>
    <t xml:space="preserve">CIS15090</t>
  </si>
  <si>
    <t xml:space="preserve">CODO EXOINOX SW 304 ø 150 mm a 90º</t>
  </si>
  <si>
    <t xml:space="preserve">CIS20045</t>
  </si>
  <si>
    <t xml:space="preserve">CODO EXOINOX SW 304 ø 200 mm a 45º</t>
  </si>
  <si>
    <t xml:space="preserve">CIS20060</t>
  </si>
  <si>
    <t xml:space="preserve">CODO EXOINOX SW 304 ø 200 mm a 60º</t>
  </si>
  <si>
    <t xml:space="preserve">CIS20090</t>
  </si>
  <si>
    <t xml:space="preserve">CODO EXOINOX SW 304 ø 200 mm a 90º</t>
  </si>
  <si>
    <t xml:space="preserve">CIS13030316</t>
  </si>
  <si>
    <t xml:space="preserve">CODO EXOINOX SW 316L ø 130 mm a 30º</t>
  </si>
  <si>
    <t xml:space="preserve">CIS15030316</t>
  </si>
  <si>
    <t xml:space="preserve">CODO EXOINOX SW 316L ø 150 mm a 30º</t>
  </si>
  <si>
    <t xml:space="preserve">CIS18030316</t>
  </si>
  <si>
    <t xml:space="preserve">CODO EXOINOX SW 316L ø 180 mm a 30º</t>
  </si>
  <si>
    <t xml:space="preserve">CIS20030316</t>
  </si>
  <si>
    <t xml:space="preserve">CODO EXOINOX SW 316L ø 200 mm a 30º</t>
  </si>
  <si>
    <t xml:space="preserve">CIS25030316</t>
  </si>
  <si>
    <t xml:space="preserve">CODO EXOINOX SW 316L ø 250 mm a 30º</t>
  </si>
  <si>
    <t xml:space="preserve">CIS30030316</t>
  </si>
  <si>
    <t xml:space="preserve">CODO EXOINOX SW 316L ø 300 mm a 30º</t>
  </si>
  <si>
    <t xml:space="preserve">CIS13045316</t>
  </si>
  <si>
    <t xml:space="preserve">CODO EXOINOX SW 316L ø 130 mm a 45º</t>
  </si>
  <si>
    <t xml:space="preserve">CIS15045316</t>
  </si>
  <si>
    <t xml:space="preserve">CODO EXOINOX SW 316L ø 150 mm a 45º</t>
  </si>
  <si>
    <t xml:space="preserve">CIS18045316</t>
  </si>
  <si>
    <t xml:space="preserve">CODO EXOINOX SW 316L ø 180 mm a 45º</t>
  </si>
  <si>
    <t xml:space="preserve">CIS20045316</t>
  </si>
  <si>
    <t xml:space="preserve">CODO EXOINOX SW 316L ø 200 mm a 45º</t>
  </si>
  <si>
    <t xml:space="preserve">CIS25045316</t>
  </si>
  <si>
    <t xml:space="preserve">CODO EXOINOX SW 316L ø 250 mm a 45º</t>
  </si>
  <si>
    <t xml:space="preserve">CIS30045316</t>
  </si>
  <si>
    <t xml:space="preserve">CODO EXOINOX SW 316L ø 300 mm a 45º</t>
  </si>
  <si>
    <t xml:space="preserve">CIS13060316</t>
  </si>
  <si>
    <t xml:space="preserve">CODO EXOINOX SW 316L ø 130 mm a 60º</t>
  </si>
  <si>
    <t xml:space="preserve">CIS15060316</t>
  </si>
  <si>
    <t xml:space="preserve">CODO EXOINOX SW 316L ø 150 mm a 60º</t>
  </si>
  <si>
    <t xml:space="preserve">CIS18060316</t>
  </si>
  <si>
    <t xml:space="preserve">CODO EXOINOX SW 316L ø 180 mm a 60º</t>
  </si>
  <si>
    <t xml:space="preserve">CIS20060316</t>
  </si>
  <si>
    <t xml:space="preserve">CODO EXOINOX SW 316L ø 200 mm a 60º</t>
  </si>
  <si>
    <t xml:space="preserve">CIS25060316</t>
  </si>
  <si>
    <t xml:space="preserve">CODO EXOINOX SW 316L ø 250 mm a 60º</t>
  </si>
  <si>
    <t xml:space="preserve">CIS30060316</t>
  </si>
  <si>
    <t xml:space="preserve">CODO EXOINOX SW 316L ø 300 mm a 60º</t>
  </si>
  <si>
    <t xml:space="preserve">CIS13090316</t>
  </si>
  <si>
    <t xml:space="preserve">CODO EXOINOX SW 316L ø 130 mm a 90º</t>
  </si>
  <si>
    <t xml:space="preserve">CIS15090316</t>
  </si>
  <si>
    <t xml:space="preserve">CODO EXOINOX SW 316L ø 150 mm a 90º</t>
  </si>
  <si>
    <t xml:space="preserve">CIS18090316</t>
  </si>
  <si>
    <t xml:space="preserve">CODO EXOINOX SW 316L ø 180 mm a 90º</t>
  </si>
  <si>
    <t xml:space="preserve">CIS20090316</t>
  </si>
  <si>
    <t xml:space="preserve">CODO EXOINOX SW 316L ø 200 mm a 90º</t>
  </si>
  <si>
    <t xml:space="preserve">CIS25090316</t>
  </si>
  <si>
    <t xml:space="preserve">CODO EXOINOX SW 316L ø 250 mm a 90º</t>
  </si>
  <si>
    <t xml:space="preserve">CIS30090316</t>
  </si>
  <si>
    <t xml:space="preserve">CODO EXOINOX SW 316L ø 300 mm a 90º</t>
  </si>
  <si>
    <t xml:space="preserve">TEI12090</t>
  </si>
  <si>
    <t xml:space="preserve">TE EXOINOX SW 304 ø 120 mm a 90º</t>
  </si>
  <si>
    <t xml:space="preserve">TEI13090316</t>
  </si>
  <si>
    <t xml:space="preserve">TE EXOINOX SW 316L ø 130 mm a 90º</t>
  </si>
  <si>
    <t xml:space="preserve">TEI15090316</t>
  </si>
  <si>
    <t xml:space="preserve">TE EXOINOX SW 316L ø 150 mm a 90º</t>
  </si>
  <si>
    <t xml:space="preserve">TEI18090316</t>
  </si>
  <si>
    <t xml:space="preserve">TE EXOINOX SW 316L ø 180 mm a 90º</t>
  </si>
  <si>
    <t xml:space="preserve">TEI20090316</t>
  </si>
  <si>
    <t xml:space="preserve">TE EXOINOX SW 316L ø 200 mm a 90º</t>
  </si>
  <si>
    <t xml:space="preserve">TEI25090316</t>
  </si>
  <si>
    <t xml:space="preserve">TE EXOINOX SW 316L ø 250 mm a 90º</t>
  </si>
  <si>
    <t xml:space="preserve">TEI30090316</t>
  </si>
  <si>
    <t xml:space="preserve">TE EXOINOX SW 316L ø 300 mm a 90º</t>
  </si>
  <si>
    <t xml:space="preserve">TAI120</t>
  </si>
  <si>
    <t xml:space="preserve">COLECTOR EXOINOX SW 304 ø 120 mm</t>
  </si>
  <si>
    <t xml:space="preserve">TAI130316</t>
  </si>
  <si>
    <t xml:space="preserve">COLECTOR EXOINOX SW 316L ø 130 mm</t>
  </si>
  <si>
    <t xml:space="preserve">TAI150316</t>
  </si>
  <si>
    <t xml:space="preserve">COLECTOR EXOINOX SW 316L ø 150 mm</t>
  </si>
  <si>
    <t xml:space="preserve">TAI180316</t>
  </si>
  <si>
    <t xml:space="preserve">COLECTOR EXOINOX SW 316L ø 180 mm</t>
  </si>
  <si>
    <t xml:space="preserve">TAI200316</t>
  </si>
  <si>
    <t xml:space="preserve">COLECTOR EXOINOX SW 316L ø 200 mm</t>
  </si>
  <si>
    <t xml:space="preserve">TAI250316</t>
  </si>
  <si>
    <t xml:space="preserve">COLECTOR EXOINOX SW 316L ø 250 mm</t>
  </si>
  <si>
    <t xml:space="preserve">TAI300316</t>
  </si>
  <si>
    <t xml:space="preserve">COLECTOR EXOINOX SW 316L ø 300 mm</t>
  </si>
  <si>
    <t xml:space="preserve">TAIR130316</t>
  </si>
  <si>
    <t xml:space="preserve">COLECTOR EXOINOX SW 316L ø 130 mm C/DESAGUE</t>
  </si>
  <si>
    <t xml:space="preserve">TAIR150316</t>
  </si>
  <si>
    <t xml:space="preserve">COLECTOR EXOINOX SW 316L ø 150 mm C/DESAGUE</t>
  </si>
  <si>
    <t xml:space="preserve">TAIR180316</t>
  </si>
  <si>
    <t xml:space="preserve">COLECTOR EXOINOX SW 316L ø 180 mm C/DESAGUE</t>
  </si>
  <si>
    <t xml:space="preserve">TAIR200316</t>
  </si>
  <si>
    <t xml:space="preserve">COLECTOR EXOINOX SW 316L ø 200 mm C/DESAGUE</t>
  </si>
  <si>
    <t xml:space="preserve">TAIR250316</t>
  </si>
  <si>
    <t xml:space="preserve">COLECTOR EXOINOX SW 316L ø 250 mm C/DESAGUE</t>
  </si>
  <si>
    <t xml:space="preserve">TAIR300316</t>
  </si>
  <si>
    <t xml:space="preserve">COLECTOR EXOINOX SW 316L ø 300 mm C/DESAGUE</t>
  </si>
  <si>
    <t xml:space="preserve">RI130120316</t>
  </si>
  <si>
    <t xml:space="preserve">REDUCCION EXOINOX SW 316L ø 130-120 mm</t>
  </si>
  <si>
    <t xml:space="preserve">RI150120316</t>
  </si>
  <si>
    <t xml:space="preserve">REDUCCION EXOINOX SW 316L ø 150-120 mm</t>
  </si>
  <si>
    <t xml:space="preserve">RI150130316</t>
  </si>
  <si>
    <t xml:space="preserve">REDUCCION EXOINOX SW 316L ø 150-130 mm</t>
  </si>
  <si>
    <t xml:space="preserve">RI180150316</t>
  </si>
  <si>
    <t xml:space="preserve">REDUCCION EXOINOX SW 316L ø 180-150 mm</t>
  </si>
  <si>
    <t xml:space="preserve">RI200150316</t>
  </si>
  <si>
    <t xml:space="preserve">REDUCCION EXOINOX SW 316L ø 200-150 mm</t>
  </si>
  <si>
    <t xml:space="preserve">RI200180316</t>
  </si>
  <si>
    <t xml:space="preserve">REDUCCION EXOINOX SW 316L ø 200-180 mm</t>
  </si>
  <si>
    <t xml:space="preserve">RI250200316</t>
  </si>
  <si>
    <t xml:space="preserve">REDUCCION EXOINOX SW 316L ø 250-200 mm</t>
  </si>
  <si>
    <t xml:space="preserve">RI300200316</t>
  </si>
  <si>
    <t xml:space="preserve">REDUCCION EXOINOX SW 316L ø 300-200 mm</t>
  </si>
  <si>
    <t xml:space="preserve">RI300250316</t>
  </si>
  <si>
    <t xml:space="preserve">REDUCCION EXOINOX SW 316L ø 300-250 mm</t>
  </si>
  <si>
    <t xml:space="preserve">AIE120130316</t>
  </si>
  <si>
    <t xml:space="preserve">AMPLIACION EXOINOX SW 316L ø 120-130 mm</t>
  </si>
  <si>
    <t xml:space="preserve">AIE120150316</t>
  </si>
  <si>
    <t xml:space="preserve">AMPLIACION EXOINOX SW 316L ø 120-150 mm</t>
  </si>
  <si>
    <t xml:space="preserve">AIE130150316</t>
  </si>
  <si>
    <t xml:space="preserve">AMPLIACION EXOINOX SW 316L ø 130-150 mm</t>
  </si>
  <si>
    <t xml:space="preserve">AIE150200316</t>
  </si>
  <si>
    <t xml:space="preserve">AMPLIACION EXOINOX SW 316L ø 150-200 mm</t>
  </si>
  <si>
    <t xml:space="preserve">AIE150180316</t>
  </si>
  <si>
    <t xml:space="preserve">AMPLIACION EXOINOX SW 316L ø 150-180 mm</t>
  </si>
  <si>
    <t xml:space="preserve">AIE180200316</t>
  </si>
  <si>
    <t xml:space="preserve">AMPLIACION EXOINOX SW 316L ø 180-200 mm</t>
  </si>
  <si>
    <t xml:space="preserve">AIE200250316</t>
  </si>
  <si>
    <t xml:space="preserve">AMPLIACION EXOINOX SW 316L ø 200-250 mm</t>
  </si>
  <si>
    <t xml:space="preserve">AIE200300316</t>
  </si>
  <si>
    <t xml:space="preserve">AMPLIACION EXOINOX SW 316L ø 200-300 mm</t>
  </si>
  <si>
    <t xml:space="preserve">AIE250300316</t>
  </si>
  <si>
    <t xml:space="preserve">AMPLIACION EXOINOX SW 316L ø 250-300 mm</t>
  </si>
  <si>
    <t xml:space="preserve">MI120</t>
  </si>
  <si>
    <t xml:space="preserve">MANGUITO UNION INOX. M-M ø 120 mm</t>
  </si>
  <si>
    <t xml:space="preserve">MI130316</t>
  </si>
  <si>
    <t xml:space="preserve">MANGUITO EXOINOX SW 316L M-M ø 130 mm</t>
  </si>
  <si>
    <t xml:space="preserve">MI150316</t>
  </si>
  <si>
    <t xml:space="preserve">MANGUITO EXOINOX SW 316L M-M ø 150 mm</t>
  </si>
  <si>
    <t xml:space="preserve">MI180316</t>
  </si>
  <si>
    <t xml:space="preserve">MANGUITO EXOINOX SW 316L M-M ø 180 mm</t>
  </si>
  <si>
    <t xml:space="preserve">MI200316</t>
  </si>
  <si>
    <t xml:space="preserve">MANGUITO EXOINOX SW 316L M-M ø 200 mm</t>
  </si>
  <si>
    <t xml:space="preserve">MI250316</t>
  </si>
  <si>
    <t xml:space="preserve">MANGUITO EXOINOX SW 316L M-M ø 250 mm</t>
  </si>
  <si>
    <t xml:space="preserve">MI300316</t>
  </si>
  <si>
    <t xml:space="preserve">MANGUITO EXOINOX SW 316L M-M ø 300 mm</t>
  </si>
  <si>
    <t xml:space="preserve">MIH120</t>
  </si>
  <si>
    <t xml:space="preserve">MANGUITO UNION INOX. H-H ø 120 mm</t>
  </si>
  <si>
    <t xml:space="preserve">MIH130316</t>
  </si>
  <si>
    <t xml:space="preserve">MANGUITO EXOINOX SW 316L H-H ø 130 mm</t>
  </si>
  <si>
    <t xml:space="preserve">MIH150316</t>
  </si>
  <si>
    <t xml:space="preserve">MANGUITO EXOINOX SW 316L H-H ø 150 mm</t>
  </si>
  <si>
    <t xml:space="preserve">MIH180316</t>
  </si>
  <si>
    <t xml:space="preserve">MANGUITO EXOINOX SW 316L H-H ø 180 mm</t>
  </si>
  <si>
    <t xml:space="preserve">MIH200316</t>
  </si>
  <si>
    <t xml:space="preserve">MANGUITO EXOINOX SW 316L H-H ø 200 mm</t>
  </si>
  <si>
    <t xml:space="preserve">MIH250316</t>
  </si>
  <si>
    <t xml:space="preserve">MANGUITO EXOINOX SW 316L H-H ø 250 mm</t>
  </si>
  <si>
    <t xml:space="preserve">MIH300316</t>
  </si>
  <si>
    <t xml:space="preserve">MANGUITO EXOINOX SW 316L H-H ø 300 mm</t>
  </si>
  <si>
    <t xml:space="preserve">COA120</t>
  </si>
  <si>
    <t xml:space="preserve">COLLARIN ANTILLUVIA EXOINOX SW 304 ø 120 mm</t>
  </si>
  <si>
    <t xml:space="preserve">COA130</t>
  </si>
  <si>
    <t xml:space="preserve">COLLARIN ANTILLUVIA EXOINOX SW 304 ø 130 mm</t>
  </si>
  <si>
    <t xml:space="preserve">COA150</t>
  </si>
  <si>
    <t xml:space="preserve">COLLARIN ANTILLUVIA EXOINOX SW 304 ø 150 mm</t>
  </si>
  <si>
    <t xml:space="preserve">COA180</t>
  </si>
  <si>
    <t xml:space="preserve">COLLARIN ANTILLUVIA EXOINOX SW 304 ø 180 mm</t>
  </si>
  <si>
    <t xml:space="preserve">COA200</t>
  </si>
  <si>
    <t xml:space="preserve">COLLARIN ANTILLUVIA EXOINOX SW 304 ø 200 mm</t>
  </si>
  <si>
    <t xml:space="preserve">COA250</t>
  </si>
  <si>
    <t xml:space="preserve">COLLARIN ANTILLUVIA EXOINOX SW 304 ø 250 mm</t>
  </si>
  <si>
    <t xml:space="preserve">COA300</t>
  </si>
  <si>
    <t xml:space="preserve">COLLARIN ANTILLUVIA EXOINOX SW 304 ø 300 mm</t>
  </si>
  <si>
    <t xml:space="preserve">PI120</t>
  </si>
  <si>
    <t xml:space="preserve">PLAFON EXOINOX SW 304 ø 120 mm</t>
  </si>
  <si>
    <t xml:space="preserve">PI150</t>
  </si>
  <si>
    <t xml:space="preserve">PLAFON EXOINOX SW 304 ø 150 mm</t>
  </si>
  <si>
    <t xml:space="preserve">PI200</t>
  </si>
  <si>
    <t xml:space="preserve">PLAFON EXOINOX SW 304 ø 200 mm</t>
  </si>
  <si>
    <t xml:space="preserve">ROSB120</t>
  </si>
  <si>
    <t xml:space="preserve">ROSETON SILICONA BLANCO ø 120 mm</t>
  </si>
  <si>
    <t xml:space="preserve">ROSB130</t>
  </si>
  <si>
    <t xml:space="preserve">ROSETON SILICONA BLANCO ø 130 mm</t>
  </si>
  <si>
    <t xml:space="preserve">ROSB150</t>
  </si>
  <si>
    <t xml:space="preserve">ROSETON SILICONA BLANCO ø 150 mm</t>
  </si>
  <si>
    <t xml:space="preserve">PPI130</t>
  </si>
  <si>
    <t xml:space="preserve">EMBELLECEDOR PLANO EXOINOX SW 316L ø 130 mm</t>
  </si>
  <si>
    <t xml:space="preserve">PPI150</t>
  </si>
  <si>
    <t xml:space="preserve">EMBELLECEDOR PLANO EXOINOX SW 316L ø 150 mm</t>
  </si>
  <si>
    <t xml:space="preserve">PPI180</t>
  </si>
  <si>
    <t xml:space="preserve">EMBELLECEDOR PLANO EXOINOX SW 316L ø 180 mm</t>
  </si>
  <si>
    <t xml:space="preserve">PPI200</t>
  </si>
  <si>
    <t xml:space="preserve">EMBELLECEDOR PLANO EXOINOX SW 316L ø 200 mm</t>
  </si>
  <si>
    <t xml:space="preserve">PPI250</t>
  </si>
  <si>
    <t xml:space="preserve">EMBELLECEDOR PLANO EXOINOX SW 316L ø 250 mm</t>
  </si>
  <si>
    <t xml:space="preserve">PPI300</t>
  </si>
  <si>
    <t xml:space="preserve">EMBELLECEDOR PLANO EXOINOX SW 316L ø 300 mm</t>
  </si>
  <si>
    <t xml:space="preserve">ABIMA120</t>
  </si>
  <si>
    <t xml:space="preserve">SOPORTE MURAL EXOINOX SW 304 ø 120 mm</t>
  </si>
  <si>
    <t xml:space="preserve">ABIMA130</t>
  </si>
  <si>
    <t xml:space="preserve">SOPORTE MURAL EXOINOX SW 304 ø 130 mm</t>
  </si>
  <si>
    <t xml:space="preserve">ABIMA150</t>
  </si>
  <si>
    <t xml:space="preserve">SOPORTE MURAL EXOINOX SW 304 ø 150 mm</t>
  </si>
  <si>
    <t xml:space="preserve">ABIMA180</t>
  </si>
  <si>
    <t xml:space="preserve">SOPORTE MURAL EXOINOX SW 304 ø 180 mm</t>
  </si>
  <si>
    <t xml:space="preserve">ABIMA200</t>
  </si>
  <si>
    <t xml:space="preserve">SOPORTE MURAL EXOINOX SW 304 ø 200 mm</t>
  </si>
  <si>
    <t xml:space="preserve">ABIMA250</t>
  </si>
  <si>
    <t xml:space="preserve">SOPORTE MURAL EXOINOX SW 304 ø 250 mm</t>
  </si>
  <si>
    <t xml:space="preserve">ABIMA300</t>
  </si>
  <si>
    <t xml:space="preserve">SOPORTE MURAL EXOINOX SW 304 ø 300 mm</t>
  </si>
  <si>
    <t xml:space="preserve">ABIM8120</t>
  </si>
  <si>
    <t xml:space="preserve">SOPORTE M8 EXOINOX SW 304 ø 120 mm</t>
  </si>
  <si>
    <t xml:space="preserve">ABIM8130</t>
  </si>
  <si>
    <t xml:space="preserve">SOPORTE M8 EXOINOX SW 304 ø 130 mm</t>
  </si>
  <si>
    <t xml:space="preserve">ABIM8150</t>
  </si>
  <si>
    <t xml:space="preserve">SOPORTE M8 EXOINOX SW 304 ø 150 mm</t>
  </si>
  <si>
    <t xml:space="preserve">ABIM8180</t>
  </si>
  <si>
    <t xml:space="preserve">SOPORTE M8 EXOINOX SW 304 ø 180 mm</t>
  </si>
  <si>
    <t xml:space="preserve">ABIM8200</t>
  </si>
  <si>
    <t xml:space="preserve">SOPORTE M8 EXOINOX SW 304 ø 200 mm</t>
  </si>
  <si>
    <t xml:space="preserve">ABIM8250</t>
  </si>
  <si>
    <t xml:space="preserve">SOPORTE M8 EXOINOX SW 304 ø 250 mm</t>
  </si>
  <si>
    <t xml:space="preserve">ABIM8300</t>
  </si>
  <si>
    <t xml:space="preserve">SOPORTE M8 EXOINOX SW 304 ø 300 mm</t>
  </si>
  <si>
    <t xml:space="preserve">ABIU120</t>
  </si>
  <si>
    <t xml:space="preserve">ABRAZADERA UNION EXOINOX SW 316L ø 120 mm</t>
  </si>
  <si>
    <t xml:space="preserve">ABIU130</t>
  </si>
  <si>
    <t xml:space="preserve">ABRAZADERA UNION EXOINOX SW 316L ø 130 mm</t>
  </si>
  <si>
    <t xml:space="preserve">ABRAZ. UNI</t>
  </si>
  <si>
    <t xml:space="preserve">ABIU150</t>
  </si>
  <si>
    <t xml:space="preserve">ABRAZADERA UNION EXOINOX SW 316L ø 150 mm</t>
  </si>
  <si>
    <t xml:space="preserve">ABIU180</t>
  </si>
  <si>
    <t xml:space="preserve">ABRAZADERA UNION EXOINOX SW 316L ø 180 mm</t>
  </si>
  <si>
    <t xml:space="preserve">ABIU200</t>
  </si>
  <si>
    <t xml:space="preserve">ABRAZADERA UNION EXOINOX SW 316L ø 200 mm</t>
  </si>
  <si>
    <t xml:space="preserve">ABIU250</t>
  </si>
  <si>
    <t xml:space="preserve">ABRAZADERA UNION EXOINOX SW 316L ø 250 mm</t>
  </si>
  <si>
    <t xml:space="preserve">ABIU300</t>
  </si>
  <si>
    <t xml:space="preserve">ABRAZADERA UNION EXOINOX SW 316L ø 300 mm</t>
  </si>
  <si>
    <t xml:space="preserve">ABIV120</t>
  </si>
  <si>
    <t xml:space="preserve">ABRAZADERA VIENTOS EXOINOX SW 304 ø 120 mm</t>
  </si>
  <si>
    <t xml:space="preserve">ABRAZ.VI</t>
  </si>
  <si>
    <t xml:space="preserve">ABVI130</t>
  </si>
  <si>
    <t xml:space="preserve">ABRAZADERA VIENTOS EXOINOX SW 304 ø 130 mm</t>
  </si>
  <si>
    <t xml:space="preserve">ABIV150</t>
  </si>
  <si>
    <t xml:space="preserve">ABRAZADERA VIENTOS EXOINOX SW 304 ø 150 mm</t>
  </si>
  <si>
    <t xml:space="preserve">ABVI180</t>
  </si>
  <si>
    <t xml:space="preserve">ABRAZADERA VIENTOS EXOINOX SW 304 ø 180 mm</t>
  </si>
  <si>
    <t xml:space="preserve">ABIV200</t>
  </si>
  <si>
    <t xml:space="preserve">ABRAZADERA VIENTOS EXOINOX SW 304 ø 200 mm</t>
  </si>
  <si>
    <t xml:space="preserve">ABIV250</t>
  </si>
  <si>
    <t xml:space="preserve">ABRAZADERA VIENTOS EXOINOX SW 304 ø 250 mm</t>
  </si>
  <si>
    <t xml:space="preserve">ABIV300</t>
  </si>
  <si>
    <t xml:space="preserve">ABRAZADERA VIENTOS EXOINOX SW 304 ø 300 mm</t>
  </si>
  <si>
    <t xml:space="preserve">SFI130</t>
  </si>
  <si>
    <t xml:space="preserve">SOPORTE FORJADO EXOINOX SW 304 ø 130 mm</t>
  </si>
  <si>
    <t xml:space="preserve">SOPORTE</t>
  </si>
  <si>
    <t xml:space="preserve">SFI150</t>
  </si>
  <si>
    <t xml:space="preserve">SOPORTE FORJADO EXOINOX SW 304 ø 150 mm</t>
  </si>
  <si>
    <t xml:space="preserve">SFI180</t>
  </si>
  <si>
    <t xml:space="preserve">SOPORTE FORJADO EXOINOX SW 304 ø 180 mm</t>
  </si>
  <si>
    <t xml:space="preserve">SFI200</t>
  </si>
  <si>
    <t xml:space="preserve">SOPORTE FORJADO EXOINOX SW 304 ø 200 mm</t>
  </si>
  <si>
    <t xml:space="preserve">SFI250</t>
  </si>
  <si>
    <t xml:space="preserve">SOPORTE FORJADO EXOINOX SW 304 ø 250 mm</t>
  </si>
  <si>
    <t xml:space="preserve">SFI300</t>
  </si>
  <si>
    <t xml:space="preserve">SOPORTE FORJADO EXOINOX SW 304 ø 300 mm</t>
  </si>
  <si>
    <t xml:space="preserve">SI120</t>
  </si>
  <si>
    <t xml:space="preserve">TERMINAL CHINO EXOINOX SW 304 ø 120 mm</t>
  </si>
  <si>
    <t xml:space="preserve">SI130</t>
  </si>
  <si>
    <t xml:space="preserve">TERMINAL CHINO EXOINOX SW 304 ø 130 mm</t>
  </si>
  <si>
    <t xml:space="preserve">SI150</t>
  </si>
  <si>
    <t xml:space="preserve">TERMINAL CHINO EXOINOX SW 304 ø 150 mm</t>
  </si>
  <si>
    <t xml:space="preserve">SI180</t>
  </si>
  <si>
    <t xml:space="preserve">TERMINAL CHINO EXOINOX SW 304 ø 180 mm</t>
  </si>
  <si>
    <t xml:space="preserve">SI200</t>
  </si>
  <si>
    <t xml:space="preserve">TERMINAL CHINO EXOINOX SW 304 ø 200 mm</t>
  </si>
  <si>
    <t xml:space="preserve">SI250</t>
  </si>
  <si>
    <t xml:space="preserve">TERMINAL CHINO EXOINOX SW 304 ø 250 mm</t>
  </si>
  <si>
    <t xml:space="preserve">SI300</t>
  </si>
  <si>
    <t xml:space="preserve">TERMINAL CHINO EXOINOX SW 304 ø 300 mm</t>
  </si>
  <si>
    <t xml:space="preserve">AI120</t>
  </si>
  <si>
    <t xml:space="preserve">TERMINAL ANTIRREVOCANTE EXOINOX SW 304 ø 120 mm</t>
  </si>
  <si>
    <t xml:space="preserve">AI130</t>
  </si>
  <si>
    <t xml:space="preserve">TERMINAL ANTIRREVOCANTE EXOINOX SW 304 ø 130 mm</t>
  </si>
  <si>
    <t xml:space="preserve">AI150</t>
  </si>
  <si>
    <t xml:space="preserve">TERMINAL ANTIRREVOCANTE EXOINOX SW 304 ø 150 mm</t>
  </si>
  <si>
    <t xml:space="preserve">AI180</t>
  </si>
  <si>
    <t xml:space="preserve">TERMINAL ANTIRREVOCANTE EXOINOX SW 304 ø 180 mm</t>
  </si>
  <si>
    <t xml:space="preserve">AI200</t>
  </si>
  <si>
    <t xml:space="preserve">TERMINAL ANTIRREVOCANTE EXOINOX SW 304 ø 200 mm</t>
  </si>
  <si>
    <t xml:space="preserve">AI250</t>
  </si>
  <si>
    <t xml:space="preserve">TERMINAL ANTIRREVOCANTE EXOINOX SW 304 ø 250 mm</t>
  </si>
  <si>
    <t xml:space="preserve">AI300</t>
  </si>
  <si>
    <t xml:space="preserve">TERMINAL ANTIRREVOCANTE EXOINOX SW 304 ø 300 mm</t>
  </si>
  <si>
    <t xml:space="preserve">EI120</t>
  </si>
  <si>
    <t xml:space="preserve">TERMINAL EXTRACTOR EXOINOX SW 304 ø 120 mm</t>
  </si>
  <si>
    <t xml:space="preserve">EI130</t>
  </si>
  <si>
    <t xml:space="preserve">TERMINAL EXTRACTOR EXOINOX SW 304 ø 130 mm</t>
  </si>
  <si>
    <t xml:space="preserve">EI150</t>
  </si>
  <si>
    <t xml:space="preserve">TERMINAL EXTRACTOR EXOINOX SW 304 ø 150 mm</t>
  </si>
  <si>
    <t xml:space="preserve">EI180</t>
  </si>
  <si>
    <t xml:space="preserve">TERMINAL EXTRACTOR EXOINOX SW 304 ø 180 mm</t>
  </si>
  <si>
    <t xml:space="preserve">EI200</t>
  </si>
  <si>
    <t xml:space="preserve">TERMINAL EXTRACTOR EXOINOX SW 304 ø 200 mm</t>
  </si>
  <si>
    <t xml:space="preserve">EI250</t>
  </si>
  <si>
    <t xml:space="preserve">TERMINAL EXTRACTOR EXOINOX SW 304 ø 250 mm</t>
  </si>
  <si>
    <t xml:space="preserve">EI300</t>
  </si>
  <si>
    <t xml:space="preserve">TERMINAL EXTRACTOR EXOINOX SW 304 ø 300 mm</t>
  </si>
  <si>
    <t xml:space="preserve">CUI13030</t>
  </si>
  <si>
    <t xml:space="preserve">CUBREAGUAS PLOMO ø 130 mm DE 5º/30º</t>
  </si>
  <si>
    <t xml:space="preserve">CUI15030</t>
  </si>
  <si>
    <t xml:space="preserve">CUBREAGUAS PLOMO ø 150 mm DE 5º/30º</t>
  </si>
  <si>
    <t xml:space="preserve">CUI18030</t>
  </si>
  <si>
    <t xml:space="preserve">CUBREAGUAS PLOMO ø 180 mm DE 5º/30º</t>
  </si>
  <si>
    <t xml:space="preserve">CUI20030</t>
  </si>
  <si>
    <t xml:space="preserve">CUBREAGUAS PLOMO ø 200 mm DE 5º/30º</t>
  </si>
  <si>
    <t xml:space="preserve">CUI25030</t>
  </si>
  <si>
    <t xml:space="preserve">CUBREAGUAS PLOMO ø 250 mm DE 5º/30º</t>
  </si>
  <si>
    <t xml:space="preserve">CUI30030</t>
  </si>
  <si>
    <t xml:space="preserve">CUBREAGUAS PLOMO ø 300 mm DE 5º/30º</t>
  </si>
  <si>
    <t xml:space="preserve">CUI13045</t>
  </si>
  <si>
    <t xml:space="preserve">CUBREAGUAS PLOMO ø 130 mm DE 30º/45º</t>
  </si>
  <si>
    <t xml:space="preserve">CUI15045</t>
  </si>
  <si>
    <t xml:space="preserve">CUBREAGUAS PLOMO ø 150 mm DE 30º/45º</t>
  </si>
  <si>
    <t xml:space="preserve">CUI18045</t>
  </si>
  <si>
    <t xml:space="preserve">CUBREAGUAS PLOMO ø 180 mm DE 30º/45º</t>
  </si>
  <si>
    <t xml:space="preserve">CUI20045</t>
  </si>
  <si>
    <t xml:space="preserve">CUBREAGUAS PLOMO ø 200 mm DE 30º/45º</t>
  </si>
  <si>
    <t xml:space="preserve">CUI25045</t>
  </si>
  <si>
    <t xml:space="preserve">CUBREAGUAS PLOMO ø 250 mm DE 30º/45º</t>
  </si>
  <si>
    <t xml:space="preserve">CUI30045</t>
  </si>
  <si>
    <t xml:space="preserve">CUBREAGUAS PLOMO ø 300 mm DE 30º/45º</t>
  </si>
  <si>
    <t xml:space="preserve">PVJS120</t>
  </si>
  <si>
    <t xml:space="preserve">JUNTA SILICONA  ø  120 mm H 12</t>
  </si>
  <si>
    <t xml:space="preserve">PVJS130</t>
  </si>
  <si>
    <t xml:space="preserve">JUNTA SILICONA  ø  130 mm H 12</t>
  </si>
  <si>
    <t xml:space="preserve">PVJS150</t>
  </si>
  <si>
    <t xml:space="preserve">JUNTA SILICONA  ø  150 mm H 12</t>
  </si>
  <si>
    <t xml:space="preserve">PVJS180</t>
  </si>
  <si>
    <t xml:space="preserve">JUNTA SILICONA  ø  180 mm H 12</t>
  </si>
  <si>
    <t xml:space="preserve">PVJS200</t>
  </si>
  <si>
    <t xml:space="preserve">JUNTA SILICONA  ø  200 mm H 12</t>
  </si>
  <si>
    <t xml:space="preserve">PVJS250</t>
  </si>
  <si>
    <t xml:space="preserve">JUNTA SILICONA  ø  250 mm H 12</t>
  </si>
  <si>
    <t xml:space="preserve">PVJS300</t>
  </si>
  <si>
    <t xml:space="preserve">JUNTA SILICONA  ø  300 mm H 12</t>
  </si>
  <si>
    <t xml:space="preserve">EXMR080316</t>
  </si>
  <si>
    <t xml:space="preserve">MODULO RECTO EXOINOX DW 316L ø 80 mm L. 1000 mm</t>
  </si>
  <si>
    <t xml:space="preserve">EXMR100316</t>
  </si>
  <si>
    <t xml:space="preserve">MODULO RECTO EXOINOX DW 316L ø 100 mm L. 1000 mm</t>
  </si>
  <si>
    <t xml:space="preserve">EXMR130316</t>
  </si>
  <si>
    <t xml:space="preserve">MODULO RECTO EXOINOX DW 316L ø 130 mm L. 1000 mm</t>
  </si>
  <si>
    <t xml:space="preserve">EXMR150316</t>
  </si>
  <si>
    <t xml:space="preserve">MODULO RECTO EXOINOX DW 316L ø 150 mm L. 1000 mm</t>
  </si>
  <si>
    <t xml:space="preserve">EXMR180316</t>
  </si>
  <si>
    <t xml:space="preserve">MODULO RECTO EXOINOX DW 316L ø 180 mm L. 1000 mm</t>
  </si>
  <si>
    <t xml:space="preserve">EXMR200316</t>
  </si>
  <si>
    <t xml:space="preserve">MODULO RECTO EXOINOX DW 316L ø 200 mm L. 1000 mm</t>
  </si>
  <si>
    <t xml:space="preserve">EXMR250316</t>
  </si>
  <si>
    <t xml:space="preserve">MODULO RECTO EXOINOX DW 316L ø 250 mm L. 1000 mm</t>
  </si>
  <si>
    <t xml:space="preserve">EXMR300316</t>
  </si>
  <si>
    <t xml:space="preserve">MODULO RECTO EXOINOX DW 316L ø 300 mm L. 1000 mm</t>
  </si>
  <si>
    <t xml:space="preserve">EXMR08050316</t>
  </si>
  <si>
    <t xml:space="preserve">MODULO RECTO EXOINOX DW 316L ø 80 mm L. 500 mm</t>
  </si>
  <si>
    <t xml:space="preserve">EXMR10050316</t>
  </si>
  <si>
    <t xml:space="preserve">MODULO RECTO EXOINOX DW 316L ø 100 mm L. 500 mm</t>
  </si>
  <si>
    <t xml:space="preserve">EXMR13050316</t>
  </si>
  <si>
    <t xml:space="preserve">MODULO RECTO EXOINOX DW 316L ø 130 mm L. 500 mm</t>
  </si>
  <si>
    <t xml:space="preserve">EXMR15050316</t>
  </si>
  <si>
    <t xml:space="preserve">MODULO RECTO EXOINOX DW 316L ø 150 mm L. 500 mm</t>
  </si>
  <si>
    <t xml:space="preserve">EXMR18050316</t>
  </si>
  <si>
    <t xml:space="preserve">MODULO RECTO EXOINOX DW 316L ø 180 mm L. 500 mm</t>
  </si>
  <si>
    <t xml:space="preserve">EXMR20050316</t>
  </si>
  <si>
    <t xml:space="preserve">MODULO RECTO EXOINOX DW 316L ø 200 mm L. 500 mm</t>
  </si>
  <si>
    <t xml:space="preserve">EXMR25050316</t>
  </si>
  <si>
    <t xml:space="preserve">MODULO RECTO EXOINOX DW 316L ø 250 mm L. 500 mm</t>
  </si>
  <si>
    <t xml:space="preserve">EXMR30050316</t>
  </si>
  <si>
    <t xml:space="preserve">MODULO RECTO EXOINOX DW 316L ø 300 mm L. 500 mm</t>
  </si>
  <si>
    <t xml:space="preserve">EXMR08025316</t>
  </si>
  <si>
    <t xml:space="preserve">MODULO RECTO EXOINOX DW 316L ø 80 mm L. 250 mm</t>
  </si>
  <si>
    <t xml:space="preserve">EXMR10025316</t>
  </si>
  <si>
    <t xml:space="preserve">MODULO RECTO EXOINOX DW 316L ø 100 mm L. 250 mm</t>
  </si>
  <si>
    <t xml:space="preserve">EXMR13025316</t>
  </si>
  <si>
    <t xml:space="preserve">MODULO RECTO EXOINOX DW 316L ø 130 mm L. 250 mm</t>
  </si>
  <si>
    <t xml:space="preserve">EXMR15025316</t>
  </si>
  <si>
    <t xml:space="preserve">MODULO RECTO EXOINOX DW 316L ø 150 mm L. 250 mm</t>
  </si>
  <si>
    <t xml:space="preserve">EXMR18025316</t>
  </si>
  <si>
    <t xml:space="preserve">MODULO RECTO EXOINOX DW 316L ø 180 mm L. 250 mm</t>
  </si>
  <si>
    <t xml:space="preserve">EXMR20025316</t>
  </si>
  <si>
    <t xml:space="preserve">MODULO RECTO EXOINOX DW 316L ø 200 mm L. 250 mm</t>
  </si>
  <si>
    <t xml:space="preserve">EXMR25025316</t>
  </si>
  <si>
    <t xml:space="preserve">MODULO RECTO EXOINOX DW 316L ø 250 mm L. 250 mm</t>
  </si>
  <si>
    <t xml:space="preserve">EXMR30025316</t>
  </si>
  <si>
    <t xml:space="preserve">MODULO RECTO EXOINOX DW 316L ø 300 mm L. 250 mm</t>
  </si>
  <si>
    <t xml:space="preserve">EXMRG08050316</t>
  </si>
  <si>
    <t xml:space="preserve">MODULO EXT. EXOINOX DW 316L ø 80 mm L. 370-550 mm</t>
  </si>
  <si>
    <t xml:space="preserve">REGULABLE</t>
  </si>
  <si>
    <t xml:space="preserve">EXMRG10050316</t>
  </si>
  <si>
    <t xml:space="preserve">MODULO EXT. EXOINOX DW 316L ø 100 mm L. 370-550 mm</t>
  </si>
  <si>
    <t xml:space="preserve">EXMRG13050316</t>
  </si>
  <si>
    <t xml:space="preserve">MODULO EXT. EXOINOX DW 316L ø 130 mm L. 370-550 mm</t>
  </si>
  <si>
    <t xml:space="preserve">EXMRG15050316</t>
  </si>
  <si>
    <t xml:space="preserve">MODULO EXT. EXOINOX DW 316L ø 150 mm L. 370-550 mm</t>
  </si>
  <si>
    <t xml:space="preserve">EXMRG18050316</t>
  </si>
  <si>
    <t xml:space="preserve">MODULO EXT. EXOINOX DW 316L ø 180 mm L. 370-550 mm</t>
  </si>
  <si>
    <t xml:space="preserve">EXMRG20050316</t>
  </si>
  <si>
    <t xml:space="preserve">MODULO EXT. EXOINOX DW 316L ø 200 mm L. 370-550 mm</t>
  </si>
  <si>
    <t xml:space="preserve">EXMRG25050316</t>
  </si>
  <si>
    <t xml:space="preserve">MODULO EXT. EXOINOX DW 316L ø 250 mm L. 370-550 mm</t>
  </si>
  <si>
    <t xml:space="preserve">EXMRG30050316</t>
  </si>
  <si>
    <t xml:space="preserve">MODULO EXT. EXOINOX DW 316L ø 300 mm L. 370-550 mm</t>
  </si>
  <si>
    <t xml:space="preserve">EXCM08030316</t>
  </si>
  <si>
    <t xml:space="preserve">CODO EXOINOX DW 316L ø 80 mm a 30º</t>
  </si>
  <si>
    <t xml:space="preserve">EXCM10030316</t>
  </si>
  <si>
    <t xml:space="preserve">CODO EXOINOX DW 316L ø 100 mm a 30º</t>
  </si>
  <si>
    <t xml:space="preserve">EXCM13030316</t>
  </si>
  <si>
    <t xml:space="preserve">CODO EXOINOX DW 316L ø 130 mm a 30º</t>
  </si>
  <si>
    <t xml:space="preserve">EXCM15030316</t>
  </si>
  <si>
    <t xml:space="preserve">CODO EXOINOX DW 316L ø 150 mm a 30º</t>
  </si>
  <si>
    <t xml:space="preserve">EXCM18030316</t>
  </si>
  <si>
    <t xml:space="preserve">CODO EXOINOX DW 316L ø 180 mm a 30º</t>
  </si>
  <si>
    <t xml:space="preserve">EXCM20030316</t>
  </si>
  <si>
    <t xml:space="preserve">CODO EXOINOX DW 316L ø 200 mm a 30º</t>
  </si>
  <si>
    <t xml:space="preserve">EXCM25030316</t>
  </si>
  <si>
    <t xml:space="preserve">CODO EXOINOX DW 316L ø 250 mm a 30º</t>
  </si>
  <si>
    <t xml:space="preserve">EXCM30030316</t>
  </si>
  <si>
    <t xml:space="preserve">CODO EXOINOX DW 316L ø 300 mm a 30º</t>
  </si>
  <si>
    <t xml:space="preserve">EXCM08045316</t>
  </si>
  <si>
    <t xml:space="preserve">CODO EXOINOX DW 316L ø 80 mm a 45º</t>
  </si>
  <si>
    <t xml:space="preserve">EXCM10045316</t>
  </si>
  <si>
    <t xml:space="preserve">CODO EXOINOX DW 316L ø 100 mm a 45º</t>
  </si>
  <si>
    <t xml:space="preserve">EXCM13045316</t>
  </si>
  <si>
    <t xml:space="preserve">CODO EXOINOX DW 316L ø 130 mm a 45º</t>
  </si>
  <si>
    <t xml:space="preserve">EXCM15045316</t>
  </si>
  <si>
    <t xml:space="preserve">CODO EXOINOX DW 316L ø 150 mm a 45º</t>
  </si>
  <si>
    <t xml:space="preserve">EXCM18045316</t>
  </si>
  <si>
    <t xml:space="preserve">CODO EXOINOX DW 316L ø 180 mm a 45º</t>
  </si>
  <si>
    <t xml:space="preserve">EXCM20045316</t>
  </si>
  <si>
    <t xml:space="preserve">CODO EXOINOX DW 316L ø 200 mm a 45º</t>
  </si>
  <si>
    <t xml:space="preserve">EXCM25045316</t>
  </si>
  <si>
    <t xml:space="preserve">CODO EXOINOX DW 316L ø 250 mm a 45º</t>
  </si>
  <si>
    <t xml:space="preserve">EXCM30045316</t>
  </si>
  <si>
    <t xml:space="preserve">CODO EXOINOX DW 316L ø 300 mm a 45º</t>
  </si>
  <si>
    <t xml:space="preserve">EXCM08090316</t>
  </si>
  <si>
    <t xml:space="preserve">CODO EXOINOX DW 316L ø 80 mm a 90º</t>
  </si>
  <si>
    <t xml:space="preserve">EXCM10090316</t>
  </si>
  <si>
    <t xml:space="preserve">CODO EXOINOX DW 316L ø 100 mm a 90º</t>
  </si>
  <si>
    <t xml:space="preserve">EXCM13090316</t>
  </si>
  <si>
    <t xml:space="preserve">CODO EXOINOX DW 316L ø 130 mm a 90º</t>
  </si>
  <si>
    <t xml:space="preserve">EXCM15090316</t>
  </si>
  <si>
    <t xml:space="preserve">CODO EXOINOX DW 316L ø 150 mm a 90º</t>
  </si>
  <si>
    <t xml:space="preserve">EXCM18090316</t>
  </si>
  <si>
    <t xml:space="preserve">CODO EXOINOX DW 316L ø 180 mm a 90º</t>
  </si>
  <si>
    <t xml:space="preserve">EXCM20090316</t>
  </si>
  <si>
    <t xml:space="preserve">CODO EXOINOX DW 316L ø 200 mm a 90º</t>
  </si>
  <si>
    <t xml:space="preserve">EXCM25090316</t>
  </si>
  <si>
    <t xml:space="preserve">CODO EXOINOX DW 316L ø 250 mm a 90º</t>
  </si>
  <si>
    <t xml:space="preserve">EXCM30090316</t>
  </si>
  <si>
    <t xml:space="preserve">CODO EXOINOX DW 316L ø 300 mm a 90º</t>
  </si>
  <si>
    <t xml:space="preserve">EXTM080316</t>
  </si>
  <si>
    <t xml:space="preserve">TE EXOINOX DW 316L ø 80 mm a 90º</t>
  </si>
  <si>
    <t xml:space="preserve">EXTM100316</t>
  </si>
  <si>
    <t xml:space="preserve">TE EXOINOX DW 316L ø 100 mm a 90º</t>
  </si>
  <si>
    <t xml:space="preserve">EXTM130316</t>
  </si>
  <si>
    <t xml:space="preserve">TE EXOINOX DW 316L ø 130 mm a 90º</t>
  </si>
  <si>
    <t xml:space="preserve">EXTM150316</t>
  </si>
  <si>
    <t xml:space="preserve">TE EXOINOX DW 316L ø 150 mm a 90º</t>
  </si>
  <si>
    <t xml:space="preserve">EXTM180316</t>
  </si>
  <si>
    <t xml:space="preserve">TE EXOINOX DW 316L ø 180 mm a 90º</t>
  </si>
  <si>
    <t xml:space="preserve">EXTM200316</t>
  </si>
  <si>
    <t xml:space="preserve">TE EXOINOX DW 316L ø 200 mm a 90º</t>
  </si>
  <si>
    <t xml:space="preserve">EXTM250316</t>
  </si>
  <si>
    <t xml:space="preserve">TE EXOINOX DW 316L ø 250 mm a 90º</t>
  </si>
  <si>
    <t xml:space="preserve">EXTM300316</t>
  </si>
  <si>
    <t xml:space="preserve">TE EXOINOX DW 316L ø 300 mm a 90º</t>
  </si>
  <si>
    <t xml:space="preserve">EXTM08045316</t>
  </si>
  <si>
    <t xml:space="preserve">TE EXOINOX DW 316L ø 80 mm a 45º</t>
  </si>
  <si>
    <t xml:space="preserve">EXTM10045316</t>
  </si>
  <si>
    <t xml:space="preserve">TE EXOINOX DW 316L ø 100 mm a 45º</t>
  </si>
  <si>
    <t xml:space="preserve">EXTM13045316</t>
  </si>
  <si>
    <t xml:space="preserve">TE EXOINOX DW 316L ø 130 mm a 45º</t>
  </si>
  <si>
    <t xml:space="preserve">EXTM15045316</t>
  </si>
  <si>
    <t xml:space="preserve">TE EXOINOX DW 316L ø 150 mm a 45º</t>
  </si>
  <si>
    <t xml:space="preserve">EXTM18045316</t>
  </si>
  <si>
    <t xml:space="preserve">TE EXOINOX DW 316L ø 180 mm a 45º</t>
  </si>
  <si>
    <t xml:space="preserve">EXTM20045316</t>
  </si>
  <si>
    <t xml:space="preserve">TE EXOINOX DW 316L ø 200 mm a 45º</t>
  </si>
  <si>
    <t xml:space="preserve">EXTM25045316</t>
  </si>
  <si>
    <t xml:space="preserve">TE EXOINOX DW 316L ø 250 mm a 45º</t>
  </si>
  <si>
    <t xml:space="preserve">EXTM30045316</t>
  </si>
  <si>
    <t xml:space="preserve">TE EXOINOX DW 316L ø 300 mm a 45º</t>
  </si>
  <si>
    <t xml:space="preserve">EXMI080</t>
  </si>
  <si>
    <t xml:space="preserve">MODULO DE INSPECCION EXOINOX DW 316L ø 80 mm</t>
  </si>
  <si>
    <t xml:space="preserve">EXMI100</t>
  </si>
  <si>
    <t xml:space="preserve">MODULO DE INSPECCION EXOINOX DW 316L ø 100 mm</t>
  </si>
  <si>
    <t xml:space="preserve">EXMI130</t>
  </si>
  <si>
    <t xml:space="preserve">MODULO DE INSPECCION EXOINOX DW 316L ø 130 mm</t>
  </si>
  <si>
    <t xml:space="preserve">EXMI150</t>
  </si>
  <si>
    <t xml:space="preserve">MODULO DE INSPECCION EXOINOX DW 316L ø 150 mm</t>
  </si>
  <si>
    <t xml:space="preserve">EXMI180</t>
  </si>
  <si>
    <t xml:space="preserve">MODULO DE INSPECCION EXOINOX DW 316L ø 180 mm</t>
  </si>
  <si>
    <t xml:space="preserve">EXMI200</t>
  </si>
  <si>
    <t xml:space="preserve">MODULO DE INSPECCION EXOINOX DW 316L ø 200 mm</t>
  </si>
  <si>
    <t xml:space="preserve">EXMI250</t>
  </si>
  <si>
    <t xml:space="preserve">MODULO DE INSPECCION EXOINOX DW 316L ø 250 mm</t>
  </si>
  <si>
    <t xml:space="preserve">EXMI300</t>
  </si>
  <si>
    <t xml:space="preserve">MODULO DE INSPECCION EXOINOX DW 316L ø 300 mm</t>
  </si>
  <si>
    <t xml:space="preserve">EXTAM080316</t>
  </si>
  <si>
    <t xml:space="preserve">COLECTOR EXOINOX DW 316L ø 80 mm</t>
  </si>
  <si>
    <t xml:space="preserve">EXTAM100316</t>
  </si>
  <si>
    <t xml:space="preserve">COLECTOR EXOINOX DW 316L ø 100 mm</t>
  </si>
  <si>
    <t xml:space="preserve">EXTAM130316</t>
  </si>
  <si>
    <t xml:space="preserve">COLECTOR EXOINOX DW 316L ø 130 mm</t>
  </si>
  <si>
    <t xml:space="preserve">EXTAM150316</t>
  </si>
  <si>
    <t xml:space="preserve">COLECTOR EXOINOX DW 316L ø 150 mm</t>
  </si>
  <si>
    <t xml:space="preserve">EXTAM180316</t>
  </si>
  <si>
    <t xml:space="preserve">COLECTOR EXOINOX DW 316L ø 180 mm</t>
  </si>
  <si>
    <t xml:space="preserve">EXTAM200316</t>
  </si>
  <si>
    <t xml:space="preserve">COLECTOR EXOINOX DW 316L ø 200 mm</t>
  </si>
  <si>
    <t xml:space="preserve">EXTAM250316</t>
  </si>
  <si>
    <t xml:space="preserve">COLECTOR EXOINOX DW 316L ø 250 mm</t>
  </si>
  <si>
    <t xml:space="preserve">EXTAM300316</t>
  </si>
  <si>
    <t xml:space="preserve">COLECTOR EXOINOX DW 316L ø 300 mm</t>
  </si>
  <si>
    <t xml:space="preserve">EXTAM080316R</t>
  </si>
  <si>
    <t xml:space="preserve">COLECTOR EXOINOX DW 316L ø 80 mm C/DESAGUE</t>
  </si>
  <si>
    <t xml:space="preserve">EXTAM100316R</t>
  </si>
  <si>
    <t xml:space="preserve">COLECTOR EXOINOX DW 316L ø 100 mm C/DESAGUE</t>
  </si>
  <si>
    <t xml:space="preserve">EXTAM130316R</t>
  </si>
  <si>
    <t xml:space="preserve">COLECTOR EXOINOX DW 316L ø 130 mm C/DESAGUE</t>
  </si>
  <si>
    <t xml:space="preserve">EXTAM150316R</t>
  </si>
  <si>
    <t xml:space="preserve">COLECTOR EXOINOX DW 316L ø 150 mm C/DESAGUE</t>
  </si>
  <si>
    <t xml:space="preserve">EXTAM180316R</t>
  </si>
  <si>
    <t xml:space="preserve">COLECTOR EXOINOX DW 316L ø 180 mm C/DESAGUE</t>
  </si>
  <si>
    <t xml:space="preserve">EXTAM200316R</t>
  </si>
  <si>
    <t xml:space="preserve">COLECTOR EXOINOX DW 316L ø 200 mm C/DESAGUE</t>
  </si>
  <si>
    <t xml:space="preserve">EXTAM250316R</t>
  </si>
  <si>
    <t xml:space="preserve">COLECTOR EXOINOX DW 316L ø 250 mm C/DESAGUE</t>
  </si>
  <si>
    <t xml:space="preserve">EXTAM300316R</t>
  </si>
  <si>
    <t xml:space="preserve">COLECTOR EXOINOX DW 316L ø 300 mm C/DESAGUE</t>
  </si>
  <si>
    <t xml:space="preserve">EXAM080100316</t>
  </si>
  <si>
    <t xml:space="preserve">AMPLIACION EXOINOX DW 316L ø 80-100 mm</t>
  </si>
  <si>
    <t xml:space="preserve">EXAM100130316</t>
  </si>
  <si>
    <t xml:space="preserve">AMPLIACION EXOINOX DW 316L ø 100-130 mm</t>
  </si>
  <si>
    <t xml:space="preserve">EXAM130150316</t>
  </si>
  <si>
    <t xml:space="preserve">AMPLIACION EXOINOX DW 316L ø 130-150 mm</t>
  </si>
  <si>
    <t xml:space="preserve">EXAM150180316</t>
  </si>
  <si>
    <t xml:space="preserve">AMPLIACION EXOINOX DW 316L ø 150-180 mm</t>
  </si>
  <si>
    <t xml:space="preserve">EXAM180200316</t>
  </si>
  <si>
    <t xml:space="preserve">AMPLIACION EXOINOX DW 316L ø 180-200 mm</t>
  </si>
  <si>
    <t xml:space="preserve">EXAM200250316</t>
  </si>
  <si>
    <t xml:space="preserve">AMPLIACION EXOINOX DW 316L ø 200-250 mm</t>
  </si>
  <si>
    <t xml:space="preserve">EXAM250300316</t>
  </si>
  <si>
    <t xml:space="preserve">AMPLIACION EXOINOX DW 316L ø 250-300 mm</t>
  </si>
  <si>
    <t xml:space="preserve">EXACM130130316</t>
  </si>
  <si>
    <t xml:space="preserve">ADAPTADOR SIMPLE-DOBLE EXOINOX DW 316L ø 130 mm</t>
  </si>
  <si>
    <t xml:space="preserve">EXACM150150316</t>
  </si>
  <si>
    <t xml:space="preserve">ADAPTADOR SIMPLE-DOBLE EXOINOX DW 316L ø 150 mm</t>
  </si>
  <si>
    <t xml:space="preserve">EXACM180180316</t>
  </si>
  <si>
    <t xml:space="preserve">ADAPTADOR SIMPLE-DOBLE EXOINOX DW 316L ø 180 mm</t>
  </si>
  <si>
    <t xml:space="preserve">EXACM200200316</t>
  </si>
  <si>
    <t xml:space="preserve">ADAPTADOR SIMPLE-DOBLE EXOINOX DW 316L ø 200 mm</t>
  </si>
  <si>
    <t xml:space="preserve">EXACM250250316</t>
  </si>
  <si>
    <t xml:space="preserve">ADAPTADOR SIMPLE-DOBLE EXOINOX DW 316L ø 250 mm</t>
  </si>
  <si>
    <t xml:space="preserve">EXACM300300316</t>
  </si>
  <si>
    <t xml:space="preserve">ADAPTADOR SIMPLE-DOBLE EXOINOX DW 316L ø 300 mm</t>
  </si>
  <si>
    <t xml:space="preserve">EXACM080316</t>
  </si>
  <si>
    <t xml:space="preserve">ADAPTADOR DOBLE-SIMPLE EXOINOX DW 316L ø 80 mm</t>
  </si>
  <si>
    <t xml:space="preserve">EXACM100316</t>
  </si>
  <si>
    <t xml:space="preserve">ADAPTADOR DOBLE-SIMPLE EXOINOX DW 316L ø 100 mm</t>
  </si>
  <si>
    <t xml:space="preserve">EXACM130316</t>
  </si>
  <si>
    <t xml:space="preserve">ADAPTADOR DOBLE-SIMPLE EXOINOX DW 316L ø 130 mm</t>
  </si>
  <si>
    <t xml:space="preserve">EXACM150316</t>
  </si>
  <si>
    <t xml:space="preserve">ADAPTADOR DOBLE-SIMPLE EXOINOX DW 316L ø 150 mm</t>
  </si>
  <si>
    <t xml:space="preserve">EXACM180316</t>
  </si>
  <si>
    <t xml:space="preserve">ADAPTADOR DOBLE-SIMPLE EXOINOX DW 316L ø 180 mm</t>
  </si>
  <si>
    <t xml:space="preserve">EXACM200316</t>
  </si>
  <si>
    <t xml:space="preserve">ADAPTADOR DOBLE-SIMPLE EXOINOX DW 316L ø 200 mm</t>
  </si>
  <si>
    <t xml:space="preserve">EXACM250316</t>
  </si>
  <si>
    <t xml:space="preserve">ADAPTADOR DOBLE-SIMPLE EXOINOX DW 316L ø 250 mm</t>
  </si>
  <si>
    <t xml:space="preserve">EXACM300316</t>
  </si>
  <si>
    <t xml:space="preserve">ADAPTADOR DOBLE-SIMPLE EXOINOX DW 316L ø 300 mm</t>
  </si>
  <si>
    <t xml:space="preserve">PPI230</t>
  </si>
  <si>
    <t xml:space="preserve">EMBELLECEDOR PLANO EXOINOX SW 316L ø 230 mm</t>
  </si>
  <si>
    <t xml:space="preserve">PPI350</t>
  </si>
  <si>
    <t xml:space="preserve">EMBELLECEDOR PLANO EXOINOX SW 316L ø 350 mm</t>
  </si>
  <si>
    <t xml:space="preserve">COA230</t>
  </si>
  <si>
    <t xml:space="preserve">COLLARIN ANTILLUVIA EXOINOX SW 304 ø 230 mm</t>
  </si>
  <si>
    <t xml:space="preserve">COA350</t>
  </si>
  <si>
    <t xml:space="preserve">COLLARIN ANTILLUVIA EXOINOX SW 304 ø 350 mm</t>
  </si>
  <si>
    <t xml:space="preserve">EXSM080</t>
  </si>
  <si>
    <t xml:space="preserve">SOPORTE MURAL INTERM. EXOINOX DW 316L ø 80 mm</t>
  </si>
  <si>
    <t xml:space="preserve">EXSM100</t>
  </si>
  <si>
    <t xml:space="preserve">SOPORTE MURAL INTERM. EXOINOX DW 316L ø 100 mm</t>
  </si>
  <si>
    <t xml:space="preserve">EXSM130</t>
  </si>
  <si>
    <t xml:space="preserve">SOPORTE MURAL INTERM. EXOINOX DW 316L ø 130 mm</t>
  </si>
  <si>
    <t xml:space="preserve">EXSM150</t>
  </si>
  <si>
    <t xml:space="preserve">SOPORTE MURAL INTERM. EXOINOX DW 316L ø 150 mm</t>
  </si>
  <si>
    <t xml:space="preserve">EXSM180</t>
  </si>
  <si>
    <t xml:space="preserve">SOPORTE MURAL INTERM. EXOINOX DW 316L ø 180 mm</t>
  </si>
  <si>
    <t xml:space="preserve">EXSM200</t>
  </si>
  <si>
    <t xml:space="preserve">SOPORTE MURAL INTERM. EXOINOX DW 316L ø 200 mm</t>
  </si>
  <si>
    <t xml:space="preserve">EXSM250</t>
  </si>
  <si>
    <t xml:space="preserve">SOPORTE MURAL INTERM. EXOINOX DW 316L ø 250 mm</t>
  </si>
  <si>
    <t xml:space="preserve">EXSM300</t>
  </si>
  <si>
    <t xml:space="preserve">SOPORTE MURAL INTERM. EXOINOX DW 316L ø 300 mm</t>
  </si>
  <si>
    <t xml:space="preserve">EXSMB080</t>
  </si>
  <si>
    <t xml:space="preserve">SOP. MURAL BASE C/DESAGÜE EXOINOX DW 316L ø 80 mm</t>
  </si>
  <si>
    <t xml:space="preserve">EXSMB100</t>
  </si>
  <si>
    <t xml:space="preserve">SOP. MURAL BASE C/DESAGÜE EXOINOX DW 316L ø 100 mm</t>
  </si>
  <si>
    <t xml:space="preserve">EXSMB130</t>
  </si>
  <si>
    <t xml:space="preserve">SOP. MURAL BASE C/DESAGÜE EXOINOX DW 316L ø 130 mm</t>
  </si>
  <si>
    <t xml:space="preserve">EXSMB150</t>
  </si>
  <si>
    <t xml:space="preserve">SOP. MURAL BASE C/DESAGÜE EXOINOX DW 316L ø 150 mm</t>
  </si>
  <si>
    <t xml:space="preserve">EXSMB180</t>
  </si>
  <si>
    <t xml:space="preserve">SOP. MURAL BASE C/DESAGÜE EXOINOX DW 316L ø 180 mm</t>
  </si>
  <si>
    <t xml:space="preserve">EXSMB200</t>
  </si>
  <si>
    <t xml:space="preserve">SOP. MURAL BASE C/DESAGÜE EXOINOX DW 316L ø 200 mm</t>
  </si>
  <si>
    <t xml:space="preserve">EXSMB250</t>
  </si>
  <si>
    <t xml:space="preserve">SOP. MURAL BASE C/DESAGÜE EXOINOX DW 316L ø 250 mm</t>
  </si>
  <si>
    <t xml:space="preserve">EXSMB300</t>
  </si>
  <si>
    <t xml:space="preserve">SOP. MURAL BASE C/DESAGÜE EXOINOX DW 316L ø 300 mm</t>
  </si>
  <si>
    <t xml:space="preserve">EXAPMEXT</t>
  </si>
  <si>
    <t xml:space="preserve">EXTENSORES 400 mm SOPORTE MURAL EXOINOX DW 316L</t>
  </si>
  <si>
    <t xml:space="preserve">ABRAZ. REG</t>
  </si>
  <si>
    <t xml:space="preserve">EXAPM080</t>
  </si>
  <si>
    <t xml:space="preserve">SOPORTE MURAL EXOINOX DW 316L ø 80 mm</t>
  </si>
  <si>
    <t xml:space="preserve">EXAPM100</t>
  </si>
  <si>
    <t xml:space="preserve">SOPORTE MURAL EXOINOX DW 316L ø 100 mm</t>
  </si>
  <si>
    <t xml:space="preserve">EXAPM130</t>
  </si>
  <si>
    <t xml:space="preserve">SOPORTE MURAL EXOINOX DW 316L ø 130 mm</t>
  </si>
  <si>
    <t xml:space="preserve">EXAPM150</t>
  </si>
  <si>
    <t xml:space="preserve">SOPORTE MURAL EXOINOX DW 316L ø 150 mm</t>
  </si>
  <si>
    <t xml:space="preserve">EXAPM180</t>
  </si>
  <si>
    <t xml:space="preserve">SOPORTE MURAL EXOINOX DW 316L ø 180 mm</t>
  </si>
  <si>
    <t xml:space="preserve">EXAPM200</t>
  </si>
  <si>
    <t xml:space="preserve">SOPORTE MURAL EXOINOX DW 316L ø 200 mm</t>
  </si>
  <si>
    <t xml:space="preserve">EXAPM250</t>
  </si>
  <si>
    <t xml:space="preserve">SOPORTE MURAL EXOINOX DW 316L ø 250 mm</t>
  </si>
  <si>
    <t xml:space="preserve">EXAPM300</t>
  </si>
  <si>
    <t xml:space="preserve">SOPORTE MURAL EXOINOX DW 316L ø 300 mm</t>
  </si>
  <si>
    <t xml:space="preserve">EXAUM080</t>
  </si>
  <si>
    <t xml:space="preserve">ABRAZADERA UNION EXOINOX DW 316L ø 80 mm</t>
  </si>
  <si>
    <t xml:space="preserve">EXAUM100</t>
  </si>
  <si>
    <t xml:space="preserve">ABRAZADERA UNION EXOINOX DW 316L ø 100 mm</t>
  </si>
  <si>
    <t xml:space="preserve">EXAUM130</t>
  </si>
  <si>
    <t xml:space="preserve">ABRAZADERA UNION EXOINOX DW 316L ø 130 mm</t>
  </si>
  <si>
    <t xml:space="preserve">EXAUM150</t>
  </si>
  <si>
    <t xml:space="preserve">ABRAZADERA UNION EXOINOX DW 316L ø 150 mm</t>
  </si>
  <si>
    <t xml:space="preserve">EXAUM180</t>
  </si>
  <si>
    <t xml:space="preserve">ABRAZADERA UNION EXOINOX DW 316L ø 180 mm</t>
  </si>
  <si>
    <t xml:space="preserve">EXAUM200</t>
  </si>
  <si>
    <t xml:space="preserve">ABRAZADERA UNION EXOINOX DW 316L ø 200 mm</t>
  </si>
  <si>
    <t xml:space="preserve">EXAUM250</t>
  </si>
  <si>
    <t xml:space="preserve">ABRAZADERA UNION EXOINOX DW 316L ø 250 mm</t>
  </si>
  <si>
    <t xml:space="preserve">EXAUM300</t>
  </si>
  <si>
    <t xml:space="preserve">ABRAZADERA UNION EXOINOX DW 316L ø 300 mm</t>
  </si>
  <si>
    <t xml:space="preserve">SFI230</t>
  </si>
  <si>
    <t xml:space="preserve">SOPORTE FORJADO EXOINOX SW 304 ø 230 mm</t>
  </si>
  <si>
    <t xml:space="preserve">SFI350</t>
  </si>
  <si>
    <t xml:space="preserve">SOPORTE FORJADO EXOINOX SW 304 ø 350 mm</t>
  </si>
  <si>
    <t xml:space="preserve">EXMD080</t>
  </si>
  <si>
    <t xml:space="preserve">TERMINAL CHINO EXOINOX DW 304 ø 80 mm</t>
  </si>
  <si>
    <t xml:space="preserve">DEFLECTOR</t>
  </si>
  <si>
    <t xml:space="preserve">EXMD100</t>
  </si>
  <si>
    <t xml:space="preserve">TERMINAL CHINO EXOINOX DW 304 ø 100 mm</t>
  </si>
  <si>
    <t xml:space="preserve">EXMD130</t>
  </si>
  <si>
    <t xml:space="preserve">TERMINAL CHINO EXOINOX DW 304 ø 130 mm</t>
  </si>
  <si>
    <t xml:space="preserve">EXMD150</t>
  </si>
  <si>
    <t xml:space="preserve">TERMINAL CHINO EXOINOX DW 304 ø 150 mm</t>
  </si>
  <si>
    <t xml:space="preserve">EXMD180</t>
  </si>
  <si>
    <t xml:space="preserve">TERMINAL CHINO EXOINOX DW 304 ø 180 mm</t>
  </si>
  <si>
    <t xml:space="preserve">EXMD200</t>
  </si>
  <si>
    <t xml:space="preserve">TERMINAL CHINO EXOINOX DW 304 ø 200 mm</t>
  </si>
  <si>
    <t xml:space="preserve">EXMD250</t>
  </si>
  <si>
    <t xml:space="preserve">TERMINAL CHINO EXOINOX DW 304 ø 250 mm</t>
  </si>
  <si>
    <t xml:space="preserve">EXMD300</t>
  </si>
  <si>
    <t xml:space="preserve">TERMINAL CHINO EXOINOX DW 304 ø 300 mm</t>
  </si>
  <si>
    <t xml:space="preserve">EXMA080</t>
  </si>
  <si>
    <t xml:space="preserve">TERMINAL ANTIRREVOCANTE EXOINOX DW 304 ø 80 mm</t>
  </si>
  <si>
    <t xml:space="preserve">ANTILLUVIA</t>
  </si>
  <si>
    <t xml:space="preserve">EXMA100</t>
  </si>
  <si>
    <t xml:space="preserve">TERMINAL ANTIRREVOCANTE EXOINOX DW 304 ø 100 mm</t>
  </si>
  <si>
    <t xml:space="preserve">EXMA130</t>
  </si>
  <si>
    <t xml:space="preserve">TERMINAL ANTIRREVOCANTE EXOINOX DW 304 ø 130 mm</t>
  </si>
  <si>
    <t xml:space="preserve">EXMA150</t>
  </si>
  <si>
    <t xml:space="preserve">TERMINAL ANTIRREVOCANTE EXOINOX DW 304 ø 150 mm</t>
  </si>
  <si>
    <t xml:space="preserve">EXMA180</t>
  </si>
  <si>
    <t xml:space="preserve">TERMINAL ANTIRREVOCANTE EXOINOX DW 304 ø 180 mm</t>
  </si>
  <si>
    <t xml:space="preserve">EXMA200</t>
  </si>
  <si>
    <t xml:space="preserve">TERMINAL ANTIRREVOCANTE EXOINOX DW 304 ø 200 mm</t>
  </si>
  <si>
    <t xml:space="preserve">EXMA250</t>
  </si>
  <si>
    <t xml:space="preserve">TERMINAL ANTIRREVOCANTE EXOINOX DW 304 ø 250 mm</t>
  </si>
  <si>
    <t xml:space="preserve">EXMA300</t>
  </si>
  <si>
    <t xml:space="preserve">TERMINAL ANTIRREVOCANTE EXOINOX DW 304 ø 300 mm</t>
  </si>
  <si>
    <t xml:space="preserve">EXME080</t>
  </si>
  <si>
    <t xml:space="preserve">TERMINAL EXTRACTOR EXOINOX DW 304 ø 80 mm</t>
  </si>
  <si>
    <t xml:space="preserve">EXTRACTOR</t>
  </si>
  <si>
    <t xml:space="preserve">EXME100</t>
  </si>
  <si>
    <t xml:space="preserve">TERMINAL EXTRACTOR EXOINOX DW 304 ø 100 mm</t>
  </si>
  <si>
    <t xml:space="preserve">EXME130</t>
  </si>
  <si>
    <t xml:space="preserve">TERMINAL EXTRACTOR EXOINOX DW 304 ø 130 mm</t>
  </si>
  <si>
    <t xml:space="preserve">EXME150</t>
  </si>
  <si>
    <t xml:space="preserve">TERMINAL EXTRACTOR EXOINOX DW 304 ø 150 mm</t>
  </si>
  <si>
    <t xml:space="preserve">EXME180</t>
  </si>
  <si>
    <t xml:space="preserve">TERMINAL EXTRACTOR EXOINOX DW 304 ø 180 mm</t>
  </si>
  <si>
    <t xml:space="preserve">EXME200</t>
  </si>
  <si>
    <t xml:space="preserve">TERMINAL EXTRACTOR EXOINOX DW 304 ø 200 mm</t>
  </si>
  <si>
    <t xml:space="preserve">EXME250</t>
  </si>
  <si>
    <t xml:space="preserve">TERMINAL EXTRACTOR EXOINOX DW 304 ø 250 mm</t>
  </si>
  <si>
    <t xml:space="preserve">EXME300</t>
  </si>
  <si>
    <t xml:space="preserve">TERMINAL EXTRACTOR EXOINOX DW 304 ø 300 mm</t>
  </si>
  <si>
    <t xml:space="preserve">CUI23030</t>
  </si>
  <si>
    <t xml:space="preserve">CUBREAGUAS PLOMO ø 230 mm DE 5º/30º</t>
  </si>
  <si>
    <t xml:space="preserve">CUI35030</t>
  </si>
  <si>
    <t xml:space="preserve">CUBREAGUAS PLOMO ø 350 mm DE 5º/30º</t>
  </si>
  <si>
    <t xml:space="preserve">CUI23045</t>
  </si>
  <si>
    <t xml:space="preserve">CUBREAGUAS PLOMO ø 230 mm DE 30º/45º</t>
  </si>
  <si>
    <t xml:space="preserve">CUI35045</t>
  </si>
  <si>
    <t xml:space="preserve">CUBREAGUAS PLOMO ø 350 mm DE 30º/45º</t>
  </si>
  <si>
    <t xml:space="preserve">EXMRV080</t>
  </si>
  <si>
    <t xml:space="preserve">MODULO RECTO EXOBLACK DW 316L ø 80 mm L. 1000 mm</t>
  </si>
  <si>
    <t xml:space="preserve">EXMRV150</t>
  </si>
  <si>
    <t xml:space="preserve">MODULO RECTO EXOBLACK DW 316L ø 150 mm L. 1000 mm</t>
  </si>
  <si>
    <t xml:space="preserve">EXMRV200</t>
  </si>
  <si>
    <t xml:space="preserve">MODULO RECTO EXOBLACK DW 316L ø 200 mm L. 1000 mm</t>
  </si>
  <si>
    <t xml:space="preserve">EXMRV08050</t>
  </si>
  <si>
    <t xml:space="preserve">MODULO RECTO EXOBLACK DW 316L ø 80 mm L. 500 mm</t>
  </si>
  <si>
    <t xml:space="preserve">EXMRV15050</t>
  </si>
  <si>
    <t xml:space="preserve">MODULO RECTO EXOBLACK DW 316L ø 150 mm L.500 mm</t>
  </si>
  <si>
    <t xml:space="preserve">EXMRV20050</t>
  </si>
  <si>
    <t xml:space="preserve">MODULO RECTO EXOBLACK DW 316L ø 200 mm L. 500 mm</t>
  </si>
  <si>
    <t xml:space="preserve">EXCMV08045</t>
  </si>
  <si>
    <t xml:space="preserve">CODO EXOBLACK DW 316L ø 80 mm a 45º</t>
  </si>
  <si>
    <t xml:space="preserve">EXCMV15045</t>
  </si>
  <si>
    <t xml:space="preserve">CODO EXOBLACK DW 316L ø 150 mm a 45º</t>
  </si>
  <si>
    <t xml:space="preserve">EXCMV20045</t>
  </si>
  <si>
    <t xml:space="preserve">CODO EXOBLACK DW 316L ø 200 mm a 45º</t>
  </si>
  <si>
    <t xml:space="preserve">EXCMV08090</t>
  </si>
  <si>
    <t xml:space="preserve">CODO EXOBLACK DW 316L ø 80 mm a 90º</t>
  </si>
  <si>
    <t xml:space="preserve">EXCMV15090</t>
  </si>
  <si>
    <t xml:space="preserve">CODO EXOBLACK DW 316L ø 150 mm a 90º</t>
  </si>
  <si>
    <t xml:space="preserve">EXCMV20090</t>
  </si>
  <si>
    <t xml:space="preserve">CODO EXOBLACK DW 316L ø 200 mm a 90º</t>
  </si>
  <si>
    <t xml:space="preserve">EXTMV080</t>
  </si>
  <si>
    <t xml:space="preserve">TE EXOBLACK DW 316L ø 80 mm a 90º</t>
  </si>
  <si>
    <t xml:space="preserve">EXTMV150</t>
  </si>
  <si>
    <t xml:space="preserve">TE EXOBLACK DW 316L ø 150 mm a 90º</t>
  </si>
  <si>
    <t xml:space="preserve">EXTMV200</t>
  </si>
  <si>
    <t xml:space="preserve">TE EXOBLACK DW 316L ø 200 mm a 90º</t>
  </si>
  <si>
    <t xml:space="preserve">EXTAMV080</t>
  </si>
  <si>
    <t xml:space="preserve">COLECTOR EXOBLACK DW 316L ø 80 mm</t>
  </si>
  <si>
    <t xml:space="preserve">EXTAMV150</t>
  </si>
  <si>
    <t xml:space="preserve">COLECTOR EXOBLACK DW 316L ø 150 mm</t>
  </si>
  <si>
    <t xml:space="preserve">EXTAMV200</t>
  </si>
  <si>
    <t xml:space="preserve">COLECTOR EXOBLACK DW 316L ø 200 mm</t>
  </si>
  <si>
    <t xml:space="preserve">PPV130</t>
  </si>
  <si>
    <t xml:space="preserve">EMBELLECEDOR PLANO EXOLEÑA PREMIUM ø 130 mm</t>
  </si>
  <si>
    <t xml:space="preserve">PPV200</t>
  </si>
  <si>
    <t xml:space="preserve">EMBELLECEDOR PLANO EXOLEÑA PREMIUM ø 200 mm</t>
  </si>
  <si>
    <t xml:space="preserve">PPV250</t>
  </si>
  <si>
    <t xml:space="preserve">EMBELLECEDOR PLANO EXOLEÑA PREMIUM ø 250 mm</t>
  </si>
  <si>
    <t xml:space="preserve">EXACMV080080</t>
  </si>
  <si>
    <t xml:space="preserve">ADAPTADOR SIMPLE-DOBLE EXOBLACK DW 316L ø 80 mm</t>
  </si>
  <si>
    <t xml:space="preserve">EXACMV150150</t>
  </si>
  <si>
    <t xml:space="preserve">ADAPTADOR SIMPLE-DOBLE EXOBLACK DW 316L ø 150 mm</t>
  </si>
  <si>
    <t xml:space="preserve">EXACMV200200</t>
  </si>
  <si>
    <t xml:space="preserve">ADAPTADOR SIMPLE-DOBLE EXOBLACK DW 316L ø 200 mm</t>
  </si>
  <si>
    <t xml:space="preserve">EXACMV080</t>
  </si>
  <si>
    <t xml:space="preserve">ADAPTADOR DOBLE-SIMPLE EXOBLACK DW 316L ø 80 mm</t>
  </si>
  <si>
    <t xml:space="preserve">EXACMV150</t>
  </si>
  <si>
    <t xml:space="preserve">ADAPTADOR DOBLE-SIMPLE EXOBLACK DW 316L ø 150 mm</t>
  </si>
  <si>
    <t xml:space="preserve">EXACMV200</t>
  </si>
  <si>
    <t xml:space="preserve">ADAPTADOR DOBLE-SIMPLE EXOBLACK DW 316L ø 200 mm</t>
  </si>
  <si>
    <t xml:space="preserve">EXAPMV080</t>
  </si>
  <si>
    <t xml:space="preserve">SOPORTE MURAL EXOBLACK DW 316L ø 80 mm</t>
  </si>
  <si>
    <t xml:space="preserve">EXAPMV150</t>
  </si>
  <si>
    <t xml:space="preserve">SOPORTE MURAL EXOBLACK DW 316L ø 150 mm</t>
  </si>
  <si>
    <t xml:space="preserve">EXAPMV200</t>
  </si>
  <si>
    <t xml:space="preserve">SOPORTE MURAL EXOBLACK DW 316L ø 200 mm</t>
  </si>
  <si>
    <t xml:space="preserve">EXAUMV080</t>
  </si>
  <si>
    <t xml:space="preserve">ABRAZADERA UNION EXOBLACK DW 316L ø 80 mm</t>
  </si>
  <si>
    <t xml:space="preserve">EXAUMV150</t>
  </si>
  <si>
    <t xml:space="preserve">ABRAZADERA UNION EXOBLACK DW 316L ø 150 mm</t>
  </si>
  <si>
    <t xml:space="preserve">EXAUMV200</t>
  </si>
  <si>
    <t xml:space="preserve">ABRAZADERA UNION EXOBLACK DW 316L ø 200 mm</t>
  </si>
  <si>
    <t xml:space="preserve">EXMDV080</t>
  </si>
  <si>
    <t xml:space="preserve">TERMINAL CHINO EXOBLACK DW 304 ø 80 mm</t>
  </si>
  <si>
    <t xml:space="preserve">EXMDV150</t>
  </si>
  <si>
    <t xml:space="preserve">TERMINAL CHINO EXOBLACK DW 304 ø 150 mm</t>
  </si>
  <si>
    <t xml:space="preserve">EXMDV200</t>
  </si>
  <si>
    <t xml:space="preserve">TERMINAL CHINO EXOBLACK DW 304 ø 200 mm</t>
  </si>
  <si>
    <t xml:space="preserve">EXMAV080</t>
  </si>
  <si>
    <t xml:space="preserve">TERMINAL ANTIRREVOCANTE EXOBLACK DW 304 ø 80 mm</t>
  </si>
  <si>
    <t xml:space="preserve">EXMAV150</t>
  </si>
  <si>
    <t xml:space="preserve">TERMINAL ANTIRREVOCANTE EXOBLACK DW 304 ø 150 mm</t>
  </si>
  <si>
    <t xml:space="preserve">EXMAV200</t>
  </si>
  <si>
    <t xml:space="preserve">TERMINAL ANTIRREVOCANTE EXOBLACK DW 304 ø 200 mm</t>
  </si>
  <si>
    <t xml:space="preserve">EXMEV080</t>
  </si>
  <si>
    <t xml:space="preserve">MODULO EXTRACTOR EXOBLACK DW 304 ø 80 mm</t>
  </si>
  <si>
    <t xml:space="preserve">EXMEV150</t>
  </si>
  <si>
    <t xml:space="preserve">MODULO EXTRACTOR EXOBLACK DW 304 ø 150 mm</t>
  </si>
  <si>
    <t xml:space="preserve">EXMEV200</t>
  </si>
  <si>
    <t xml:space="preserve">MODULO EXTRACTOR EXOBLACK DW 304 ø 200 mm</t>
  </si>
  <si>
    <t xml:space="preserve">EXOFLEX INOX 316L</t>
  </si>
  <si>
    <t xml:space="preserve">TFI060</t>
  </si>
  <si>
    <t xml:space="preserve">30 Mts EXOFLEX INOX 316L ø 60 mm</t>
  </si>
  <si>
    <t xml:space="preserve">TFI080</t>
  </si>
  <si>
    <t xml:space="preserve">30 Mts EXOFLEX INOX 316L ø 80 mm</t>
  </si>
  <si>
    <t xml:space="preserve">TFI100</t>
  </si>
  <si>
    <t xml:space="preserve">30 Mts EXOFLEX INOX 316L ø 100 mm</t>
  </si>
  <si>
    <t xml:space="preserve">TFI125</t>
  </si>
  <si>
    <t xml:space="preserve">30 Mts EXOFLEX INOX 316L ø 125 mm</t>
  </si>
  <si>
    <t xml:space="preserve">TFI150</t>
  </si>
  <si>
    <t xml:space="preserve">30 Mts EXOFLEX INOX 316L ø 150 mm</t>
  </si>
  <si>
    <t xml:space="preserve">TFI180</t>
  </si>
  <si>
    <t xml:space="preserve">30 Mts EXOFLEX INOX 316L ø 180 mm</t>
  </si>
  <si>
    <t xml:space="preserve">TFI200</t>
  </si>
  <si>
    <t xml:space="preserve">25 Mts EXOFLEX INOX 316L ø 200 mm</t>
  </si>
  <si>
    <t xml:space="preserve">TFIM080</t>
  </si>
  <si>
    <t xml:space="preserve">MANGUITO EXOFLEX INOX 316L ø 80 mm</t>
  </si>
  <si>
    <t xml:space="preserve">TFIM150</t>
  </si>
  <si>
    <t xml:space="preserve">MANGUITO EXOFLEX INOX 316L ø 150 mm</t>
  </si>
  <si>
    <t xml:space="preserve">TFIM200</t>
  </si>
  <si>
    <t xml:space="preserve">MANGUITO EXOFLEX INOX 316L ø 200 mm</t>
  </si>
  <si>
    <t xml:space="preserve">TFIASD080</t>
  </si>
  <si>
    <t xml:space="preserve">ADAPTADOR EXOINOX SW 316L-EXOFLEX INOX 316L ø 80</t>
  </si>
  <si>
    <t xml:space="preserve">TFIASD150</t>
  </si>
  <si>
    <t xml:space="preserve">ADAPTADOR EXOINOX SW 316L-EXOFLEX INOX 316L ø 150</t>
  </si>
  <si>
    <t xml:space="preserve">TFIASD200</t>
  </si>
  <si>
    <t xml:space="preserve">ADAPTADOR EXOINOX SW 316L-EXOFLEX INOX 316L ø 200</t>
  </si>
  <si>
    <t xml:space="preserve">TFIADS080</t>
  </si>
  <si>
    <t xml:space="preserve">ADAPTADOR EXOFLEX INOX 316L-EXOINOX SW 316L ø 80</t>
  </si>
  <si>
    <t xml:space="preserve">TFIADS150</t>
  </si>
  <si>
    <t xml:space="preserve">ADAPTADOR EXOFLEX INOX 316L-EXOINOX SW 316L ø 150</t>
  </si>
  <si>
    <t xml:space="preserve">TFIADS200</t>
  </si>
  <si>
    <t xml:space="preserve">ADAPTADOR EXOFLEX INOX 316L-EXOINOX SW 316L ø 200</t>
  </si>
  <si>
    <t xml:space="preserve">TG080</t>
  </si>
  <si>
    <t xml:space="preserve">MODULO RECTO EXOGALVA ø 80 mm</t>
  </si>
  <si>
    <t xml:space="preserve">TG090</t>
  </si>
  <si>
    <t xml:space="preserve">MODULO RECTO EXOGALVA ø 90 mm</t>
  </si>
  <si>
    <t xml:space="preserve">TG100</t>
  </si>
  <si>
    <t xml:space="preserve">MODULO RECTO EXOGALVA ø 100 mm</t>
  </si>
  <si>
    <t xml:space="preserve">TG110</t>
  </si>
  <si>
    <t xml:space="preserve">MODULO RECTO EXOGALVA ø 110 mm</t>
  </si>
  <si>
    <t xml:space="preserve">TG120</t>
  </si>
  <si>
    <t xml:space="preserve">MODULO RECTO EXOGALVA ø 120 mm</t>
  </si>
  <si>
    <t xml:space="preserve">TG125</t>
  </si>
  <si>
    <t xml:space="preserve">MODULO RECTO EXOGALVA ø 125 mm</t>
  </si>
  <si>
    <t xml:space="preserve">TG130</t>
  </si>
  <si>
    <t xml:space="preserve">MODULO RECTO EXOGALVA ø 130 mm</t>
  </si>
  <si>
    <t xml:space="preserve">TG140</t>
  </si>
  <si>
    <t xml:space="preserve">MODULO RECTO EXOGALVA ø 140 mm</t>
  </si>
  <si>
    <t xml:space="preserve">TG150</t>
  </si>
  <si>
    <t xml:space="preserve">MODULO RECTO EXOGALVA ø 150 mm</t>
  </si>
  <si>
    <t xml:space="preserve">TG10008</t>
  </si>
  <si>
    <t xml:space="preserve">MODULO RECTO EXOGALVA ø 100 mm (0,8)</t>
  </si>
  <si>
    <t xml:space="preserve">TG11008</t>
  </si>
  <si>
    <t xml:space="preserve">MODULO RECTO EXOGALVA ø 110 mm (0,8)</t>
  </si>
  <si>
    <t xml:space="preserve">TG12008</t>
  </si>
  <si>
    <t xml:space="preserve">MODULO RECTO EXOGALVA ø 120 mm (0,8)</t>
  </si>
  <si>
    <t xml:space="preserve">TG12508</t>
  </si>
  <si>
    <t xml:space="preserve">MODULO RECTO EXOGALVA ø 125 mm (0,8)</t>
  </si>
  <si>
    <t xml:space="preserve">TG15008</t>
  </si>
  <si>
    <t xml:space="preserve">MODULO RECTO EXOGALVA ø 150 mm (0,8)</t>
  </si>
  <si>
    <t xml:space="preserve">TG17508</t>
  </si>
  <si>
    <t xml:space="preserve">MODULO RECTO EXOGALVA ø 175 mm (0,8)</t>
  </si>
  <si>
    <t xml:space="preserve">TG18008</t>
  </si>
  <si>
    <t xml:space="preserve">MODULO RECTO EXOGALVA ø 180 mm (0,8)</t>
  </si>
  <si>
    <t xml:space="preserve">TG20008</t>
  </si>
  <si>
    <t xml:space="preserve">MODULO RECTO EXOGALVA ø 200 mm (0,8)</t>
  </si>
  <si>
    <t xml:space="preserve">TG25008</t>
  </si>
  <si>
    <t xml:space="preserve">MODULO RECTO EXOGALVA ø 250 mm (0,8)</t>
  </si>
  <si>
    <t xml:space="preserve">TG30008</t>
  </si>
  <si>
    <t xml:space="preserve">MODULO RECTO EXOGALVA ø 300 mm (0,8)</t>
  </si>
  <si>
    <t xml:space="preserve">TG35008</t>
  </si>
  <si>
    <t xml:space="preserve">MODULO RECTO EXOGALVA ø 350 mm (0,8)</t>
  </si>
  <si>
    <t xml:space="preserve">TG40008</t>
  </si>
  <si>
    <t xml:space="preserve">MODULO RECTO EXOGALVA ø 400 mm (0,8)</t>
  </si>
  <si>
    <t xml:space="preserve">TG50008</t>
  </si>
  <si>
    <t xml:space="preserve">MODULO RECTO EXOGALVA ø 500 mm (0,8)</t>
  </si>
  <si>
    <t xml:space="preserve">TG15010</t>
  </si>
  <si>
    <t xml:space="preserve">MODULO RECTO EXOGALVA ø 150 mm (1,0)</t>
  </si>
  <si>
    <t xml:space="preserve">TG17510</t>
  </si>
  <si>
    <t xml:space="preserve">MODULO RECTO EXOGALVA ø 175 mm (1,0)</t>
  </si>
  <si>
    <t xml:space="preserve">TG20010</t>
  </si>
  <si>
    <t xml:space="preserve">MODULO RECTO EXOGALVA ø 200 mm (1,0)</t>
  </si>
  <si>
    <t xml:space="preserve">TG25010</t>
  </si>
  <si>
    <t xml:space="preserve">MODULO RECTO EXOGALVA ø 250 mm (1,0)</t>
  </si>
  <si>
    <t xml:space="preserve">TG30010</t>
  </si>
  <si>
    <t xml:space="preserve">MODULO RECTO EXOGALVA ø 300 mm (1,0)</t>
  </si>
  <si>
    <t xml:space="preserve">TG080L</t>
  </si>
  <si>
    <t xml:space="preserve">MODULO RECTO EXOGALVA ø 80 mm C/REG.</t>
  </si>
  <si>
    <t xml:space="preserve">TG090L</t>
  </si>
  <si>
    <t xml:space="preserve">MODULO RECTO EXOGALVA ø 90 mm C/REG.</t>
  </si>
  <si>
    <t xml:space="preserve">TG100L</t>
  </si>
  <si>
    <t xml:space="preserve">MODULO RECTO EXOGALVA ø 100 mm C/REG.</t>
  </si>
  <si>
    <t xml:space="preserve">TG110L</t>
  </si>
  <si>
    <t xml:space="preserve">MODULO RECTO EXOGALVA ø 110 mm C/REG.</t>
  </si>
  <si>
    <t xml:space="preserve">TG120L</t>
  </si>
  <si>
    <t xml:space="preserve">MODULO RECTO EXOGALVA ø 120 mm C/REG.</t>
  </si>
  <si>
    <t xml:space="preserve">TG125L</t>
  </si>
  <si>
    <t xml:space="preserve">MODULO RECTO EXOGALVA ø 125 mm C/REG.</t>
  </si>
  <si>
    <t xml:space="preserve">TG150L</t>
  </si>
  <si>
    <t xml:space="preserve">MODULO RECTO EXOGALVA ø 150 mm C/REG.</t>
  </si>
  <si>
    <t xml:space="preserve">DEG100</t>
  </si>
  <si>
    <t xml:space="preserve">MODULO EXTENSIBLE EXOGALVA ø 100 mm L. 330 mm</t>
  </si>
  <si>
    <t xml:space="preserve">DEG110</t>
  </si>
  <si>
    <t xml:space="preserve">MODULO EXTENSIBLE EXOGALVA ø 110 mm L. 330 mm</t>
  </si>
  <si>
    <t xml:space="preserve">DEG120</t>
  </si>
  <si>
    <t xml:space="preserve">MODULO EXTENSIBLE EXOGALVA ø 120 mm L. 330 mm</t>
  </si>
  <si>
    <t xml:space="preserve">DEG125</t>
  </si>
  <si>
    <t xml:space="preserve">MODULO EXTENSIBLE EXOGALVA ø 125 mm L. 330 mm</t>
  </si>
  <si>
    <t xml:space="preserve">DEG150</t>
  </si>
  <si>
    <t xml:space="preserve">MODULO EXTENSIBLE EXOGALVA ø 150 mm L. 330 mm</t>
  </si>
  <si>
    <t xml:space="preserve">DEG175</t>
  </si>
  <si>
    <t xml:space="preserve">MODULO EXTENSIBLE EXOGALVA ø 175 mm L. 330 mm</t>
  </si>
  <si>
    <t xml:space="preserve">DEG180</t>
  </si>
  <si>
    <t xml:space="preserve">MODULO EXTENSIBLE EXOGALVA ø 180 mm L. 330 mm</t>
  </si>
  <si>
    <t xml:space="preserve">DEG200</t>
  </si>
  <si>
    <t xml:space="preserve">MODULO EXTENSIBLE EXOGALVA ø 200 mm L. 330 mm</t>
  </si>
  <si>
    <t xml:space="preserve">DEG250</t>
  </si>
  <si>
    <t xml:space="preserve">MODULO EXTENSIBLE EXOGALVA ø 250 mm L. 330 mm</t>
  </si>
  <si>
    <t xml:space="preserve">DEG300</t>
  </si>
  <si>
    <t xml:space="preserve">MODULO EXTENSIBLE EXOGALVA ø 300 mm L. 330 mm</t>
  </si>
  <si>
    <t xml:space="preserve">CGS15030</t>
  </si>
  <si>
    <t xml:space="preserve">CODO SECTORES EXOGALVA ø 150 mm a 30º (0,8)</t>
  </si>
  <si>
    <t xml:space="preserve">CGS17530</t>
  </si>
  <si>
    <t xml:space="preserve">CODO SECTORES EXOGALVA ø 175 mm a 30º (0,8)</t>
  </si>
  <si>
    <t xml:space="preserve">CGS18030</t>
  </si>
  <si>
    <t xml:space="preserve">CODO SECTORES EXOGALVA ø 180 mm a 30º (0,8)</t>
  </si>
  <si>
    <t xml:space="preserve">CGS20030</t>
  </si>
  <si>
    <t xml:space="preserve">CODO SECTORES EXOGALVA ø 200 mm a 30º (0,8)</t>
  </si>
  <si>
    <t xml:space="preserve">CGS25030</t>
  </si>
  <si>
    <t xml:space="preserve">CODO SECTORES EXOGALVA ø 250 mm a 30º (0,8)</t>
  </si>
  <si>
    <t xml:space="preserve">CGS30030</t>
  </si>
  <si>
    <t xml:space="preserve">CODO SECTORES EXOGALVA ø 300 mm a 30º (0,8)</t>
  </si>
  <si>
    <t xml:space="preserve">CGS35030</t>
  </si>
  <si>
    <t xml:space="preserve">CODO SECTORES EXOGALVA ø 350 mm a 30º (0,8)</t>
  </si>
  <si>
    <t xml:space="preserve">CGS40030</t>
  </si>
  <si>
    <t xml:space="preserve">CODO SECTORES EXOGALVA ø 400 mm a 30º (0,8)</t>
  </si>
  <si>
    <t xml:space="preserve">CGS50030</t>
  </si>
  <si>
    <t xml:space="preserve">CODO SECTORES EXOGALVA ø 500 mm a 30º (0,8)</t>
  </si>
  <si>
    <t xml:space="preserve">CGS15045</t>
  </si>
  <si>
    <t xml:space="preserve">CODO SECTORES EXOGALVA ø 150 mm a 45º (0,8)</t>
  </si>
  <si>
    <t xml:space="preserve">CGS17545</t>
  </si>
  <si>
    <t xml:space="preserve">CODO SECTORES EXOGALVA ø 175 mm a 45º (0,8)</t>
  </si>
  <si>
    <t xml:space="preserve">CGS18045</t>
  </si>
  <si>
    <t xml:space="preserve">CODO SECTORES EXOGALVA ø 180 mm a 45º (0,8)</t>
  </si>
  <si>
    <t xml:space="preserve">CGS20045</t>
  </si>
  <si>
    <t xml:space="preserve">CODO SECTORES EXOGALVA ø 200 mm a 45º (0,8)</t>
  </si>
  <si>
    <t xml:space="preserve">CGS25045</t>
  </si>
  <si>
    <t xml:space="preserve">CODO SECTORES EXOGALVA ø 250 mm a 45º (0,8)</t>
  </si>
  <si>
    <t xml:space="preserve">CGS30045</t>
  </si>
  <si>
    <t xml:space="preserve">CODO SECTORES EXOGALVA ø 300 mm a 45º (0,8)</t>
  </si>
  <si>
    <t xml:space="preserve">CGS35045</t>
  </si>
  <si>
    <t xml:space="preserve">CODO SECTORES EXOGALVA ø 350 mm a 45º (0,8)</t>
  </si>
  <si>
    <t xml:space="preserve">CGS40045</t>
  </si>
  <si>
    <t xml:space="preserve">CODO SECTORES EXOGALVA ø 400 mm a 45º (0,8)</t>
  </si>
  <si>
    <t xml:space="preserve">CGS50045</t>
  </si>
  <si>
    <t xml:space="preserve">CODO SECTORES EXOGALVA ø 500 mm a 45º (0,8)</t>
  </si>
  <si>
    <t xml:space="preserve">CGS15060</t>
  </si>
  <si>
    <t xml:space="preserve">CODO SECTORES EXOGALVA ø 150 mm a 60º (0,8)</t>
  </si>
  <si>
    <t xml:space="preserve">CGS17560</t>
  </si>
  <si>
    <t xml:space="preserve">CODO SECTORES EXOGALVA ø 175 mm a 60º (0,8)</t>
  </si>
  <si>
    <t xml:space="preserve">CGS18060</t>
  </si>
  <si>
    <t xml:space="preserve">CODO SECTORES EXOGALVA ø 180 mm a 60º (0,8)</t>
  </si>
  <si>
    <t xml:space="preserve">CGS20060</t>
  </si>
  <si>
    <t xml:space="preserve">CODO SECTORES EXOGALVA ø 200 mm a 60º (0,8)</t>
  </si>
  <si>
    <t xml:space="preserve">CGS25060</t>
  </si>
  <si>
    <t xml:space="preserve">CODO SECTORES EXOGALVA ø 250 mm a 60º (0,8)</t>
  </si>
  <si>
    <t xml:space="preserve">CGS30060</t>
  </si>
  <si>
    <t xml:space="preserve">CODO SECTORES EXOGALVA ø 300 mm a 60º (0,8)</t>
  </si>
  <si>
    <t xml:space="preserve">CGS35060</t>
  </si>
  <si>
    <t xml:space="preserve">CODO SECTORES EXOGALVA ø 350 mm a 60º (0,8)</t>
  </si>
  <si>
    <t xml:space="preserve">CGS40060</t>
  </si>
  <si>
    <t xml:space="preserve">CODO SECTORES EXOGALVA ø 400 mm a 60º (0,8)</t>
  </si>
  <si>
    <t xml:space="preserve">CGS50060</t>
  </si>
  <si>
    <t xml:space="preserve">CODO SECTORES EXOGALVA ø 500 mm a 60º (0,8)</t>
  </si>
  <si>
    <t xml:space="preserve">CGS15090</t>
  </si>
  <si>
    <t xml:space="preserve">CODO SECTORES EXOGALVA ø 150 mm a 90º (0,8)</t>
  </si>
  <si>
    <t xml:space="preserve">CGS17590</t>
  </si>
  <si>
    <t xml:space="preserve">CODO SECTORES EXOGALVA ø 175 mm a 90º (0,8)</t>
  </si>
  <si>
    <t xml:space="preserve">CGS18090</t>
  </si>
  <si>
    <t xml:space="preserve">CODO SECTORES EXOGALVA ø 180 mm a 90º (0,8)</t>
  </si>
  <si>
    <t xml:space="preserve">CGS20090</t>
  </si>
  <si>
    <t xml:space="preserve">CODO SECTORES EXOGALVA ø 200 mm a 90º (0,8)</t>
  </si>
  <si>
    <t xml:space="preserve">CGS25090</t>
  </si>
  <si>
    <t xml:space="preserve">CODO SECTORES EXOGALVA ø 250 mm a 90º (0,8)</t>
  </si>
  <si>
    <t xml:space="preserve">CGS30090</t>
  </si>
  <si>
    <t xml:space="preserve">CODO SECTORES EXOGALVA ø 300 mm a 90º (0,8)</t>
  </si>
  <si>
    <t xml:space="preserve">CGS35090</t>
  </si>
  <si>
    <t xml:space="preserve">CODO SECTORES EXOGALVA ø 350 mm a 90º (0,8)</t>
  </si>
  <si>
    <t xml:space="preserve">CGS40090</t>
  </si>
  <si>
    <t xml:space="preserve">CODO SECTORES EXOGALVA ø 400 mm a 90º (0,8)</t>
  </si>
  <si>
    <t xml:space="preserve">CGS50090</t>
  </si>
  <si>
    <t xml:space="preserve">CODO SECTORES EXOGALVA ø 500 mm a 90º (0,8)</t>
  </si>
  <si>
    <t xml:space="preserve">CG08045</t>
  </si>
  <si>
    <t xml:space="preserve">CODO RIZADO EXOGALVA ø 80 mm a 45º</t>
  </si>
  <si>
    <t xml:space="preserve">CG09045</t>
  </si>
  <si>
    <t xml:space="preserve">CODO RIZADO EXOGALVA ø 90 mm a 45º</t>
  </si>
  <si>
    <t xml:space="preserve">CG10045</t>
  </si>
  <si>
    <t xml:space="preserve">CODO RIZADO EXOGALVA ø 100 mm a 45º</t>
  </si>
  <si>
    <t xml:space="preserve">CG11045</t>
  </si>
  <si>
    <t xml:space="preserve">CODO RIZADO EXOGALVA ø 110 mm a 45º</t>
  </si>
  <si>
    <t xml:space="preserve">CG12045</t>
  </si>
  <si>
    <t xml:space="preserve">CODO RIZADO EXOGALVA ø 120 mm a 45º</t>
  </si>
  <si>
    <t xml:space="preserve">CG12545</t>
  </si>
  <si>
    <t xml:space="preserve">CODO RIZADO EXOGALVA ø 125 mm a 45º</t>
  </si>
  <si>
    <t xml:space="preserve">CG13045</t>
  </si>
  <si>
    <t xml:space="preserve">CODO RIZADO EXOGALVA ø 130 mm  a 45º</t>
  </si>
  <si>
    <t xml:space="preserve">CG14045</t>
  </si>
  <si>
    <t xml:space="preserve">CODO RIZADO EXOGALVA ø 140 mm  a 45º</t>
  </si>
  <si>
    <t xml:space="preserve">CG15045</t>
  </si>
  <si>
    <t xml:space="preserve">CODO RIZADO EXOGALVA ø 150 mm a 45º</t>
  </si>
  <si>
    <t xml:space="preserve">CG08090</t>
  </si>
  <si>
    <t xml:space="preserve">CODO RIZADO EXOGALVA ø 80 mm a 90º</t>
  </si>
  <si>
    <t xml:space="preserve">CG09090</t>
  </si>
  <si>
    <t xml:space="preserve">CODO RIZADO EXOGALVA ø 90 mm a 90º</t>
  </si>
  <si>
    <t xml:space="preserve">CG10090</t>
  </si>
  <si>
    <t xml:space="preserve">CODO RIZADO EXOGALVA ø 100 mm a 90º</t>
  </si>
  <si>
    <t xml:space="preserve">CG11090</t>
  </si>
  <si>
    <t xml:space="preserve">CODO RIZADO EXOGALVA ø 110 mm a 90º</t>
  </si>
  <si>
    <t xml:space="preserve">CG12090</t>
  </si>
  <si>
    <t xml:space="preserve">CODO RIZADO EXOGALVA ø 120 mm a 90º</t>
  </si>
  <si>
    <t xml:space="preserve">CG12590</t>
  </si>
  <si>
    <t xml:space="preserve">CODO RIZADO EXOGALVA ø 125 mm a 90º</t>
  </si>
  <si>
    <t xml:space="preserve">CG13090</t>
  </si>
  <si>
    <t xml:space="preserve">CODO RIZADO EXOGALVA ø 130 mm  a 90º</t>
  </si>
  <si>
    <t xml:space="preserve">CG14090</t>
  </si>
  <si>
    <t xml:space="preserve">CODO RIZADO EXOGALVA ø 140 mm  a 90º</t>
  </si>
  <si>
    <t xml:space="preserve">CG15090</t>
  </si>
  <si>
    <t xml:space="preserve">CODO RIZADO EXOGALVA ø 150 mm a 90º</t>
  </si>
  <si>
    <t xml:space="preserve">CG1004508</t>
  </si>
  <si>
    <t xml:space="preserve">CODO RIZADO EXOGALVA ø 100 mm a 45º (0,8)</t>
  </si>
  <si>
    <t xml:space="preserve">CG1009008</t>
  </si>
  <si>
    <t xml:space="preserve">CODO RIZADO EXOGALVA ø 100 mm a 90º (0,8)</t>
  </si>
  <si>
    <t xml:space="preserve">CG1104508</t>
  </si>
  <si>
    <t xml:space="preserve">CODO RIZADO EXOGALVA ø 110 mm a 45º (0,8)</t>
  </si>
  <si>
    <t xml:space="preserve">CG1109008</t>
  </si>
  <si>
    <t xml:space="preserve">CODO RIZADO EXOGALVA ø 110 mm a 90º (0,8)</t>
  </si>
  <si>
    <t xml:space="preserve">CG1204508</t>
  </si>
  <si>
    <t xml:space="preserve">CODO RIZADO EXOGALVA ø 120 mm a 45º (0,8)</t>
  </si>
  <si>
    <t xml:space="preserve">CG1209008</t>
  </si>
  <si>
    <t xml:space="preserve">CODO RIZADO EXOGALVA ø 120 mm a 90º (0,8)</t>
  </si>
  <si>
    <t xml:space="preserve">CG1254508</t>
  </si>
  <si>
    <t xml:space="preserve">CODO RIZADO EXOGALVA ø 125 mm a 45º (0,8)</t>
  </si>
  <si>
    <t xml:space="preserve">CG1259008</t>
  </si>
  <si>
    <t xml:space="preserve">CODO RIZADO EXOGALVA ø 125 mm a 90º (0,8)</t>
  </si>
  <si>
    <t xml:space="preserve">CG1504508</t>
  </si>
  <si>
    <t xml:space="preserve">CODO RIZADO EXOGALVA ø 150 mm a 45º (0,8)</t>
  </si>
  <si>
    <t xml:space="preserve">CG1509008</t>
  </si>
  <si>
    <t xml:space="preserve">CODO RIZADO EXOGALVA ø 150 mm a 90º (0,8)</t>
  </si>
  <si>
    <t xml:space="preserve">TEG08090</t>
  </si>
  <si>
    <t xml:space="preserve">TE EXOGALVA ø 80 mm a 90º</t>
  </si>
  <si>
    <t xml:space="preserve">TEG09090</t>
  </si>
  <si>
    <t xml:space="preserve">TE EXOGALVA ø 90 mm a 90º</t>
  </si>
  <si>
    <t xml:space="preserve">TEG10090</t>
  </si>
  <si>
    <t xml:space="preserve">TE EXOGALVA ø 100 mm a 90º</t>
  </si>
  <si>
    <t xml:space="preserve">TEG11090</t>
  </si>
  <si>
    <t xml:space="preserve">TE EXOGALVA ø 110 mm a 90º</t>
  </si>
  <si>
    <t xml:space="preserve">TEG12090</t>
  </si>
  <si>
    <t xml:space="preserve">TE EXOGALVA ø 120 mm a 90º</t>
  </si>
  <si>
    <t xml:space="preserve">TEG12590</t>
  </si>
  <si>
    <t xml:space="preserve">TE EXOGALVA ø 125 mm a 90º</t>
  </si>
  <si>
    <t xml:space="preserve">TEG13090</t>
  </si>
  <si>
    <t xml:space="preserve">TE EXOGALVA ø 130 mm a 90º</t>
  </si>
  <si>
    <t xml:space="preserve">TEG14090</t>
  </si>
  <si>
    <t xml:space="preserve">TE EXOGALVA ø 140 mm a 90º</t>
  </si>
  <si>
    <t xml:space="preserve">TEG15090</t>
  </si>
  <si>
    <t xml:space="preserve">TE EXOGALVA ø 150 mm a 90º</t>
  </si>
  <si>
    <t xml:space="preserve">TEG17590</t>
  </si>
  <si>
    <t xml:space="preserve">TE EXOGALVA ø 175 mm a 90º</t>
  </si>
  <si>
    <t xml:space="preserve">TEG18090</t>
  </si>
  <si>
    <t xml:space="preserve">TE EXOGALVA ø 180 mm a 90º</t>
  </si>
  <si>
    <t xml:space="preserve">TEG20090</t>
  </si>
  <si>
    <t xml:space="preserve">TE EXOGALVA ø 200 mm a 90º</t>
  </si>
  <si>
    <t xml:space="preserve">TEG25090</t>
  </si>
  <si>
    <t xml:space="preserve">TE EXOGALVA ø 250 mm a 90º</t>
  </si>
  <si>
    <t xml:space="preserve">TEG30090</t>
  </si>
  <si>
    <t xml:space="preserve">TE EXOGALVA ø 300 mm a 90º</t>
  </si>
  <si>
    <t xml:space="preserve">TEG35090</t>
  </si>
  <si>
    <t xml:space="preserve">TE EXOGALVA ø 350 mm a 90º</t>
  </si>
  <si>
    <t xml:space="preserve">TEG40090</t>
  </si>
  <si>
    <t xml:space="preserve">TE EXOGALVA ø 400 mm a 90º</t>
  </si>
  <si>
    <t xml:space="preserve">TEG50090</t>
  </si>
  <si>
    <t xml:space="preserve">TE EXOGALVA ø 500 mm a 90º</t>
  </si>
  <si>
    <t xml:space="preserve">TAG080</t>
  </si>
  <si>
    <t xml:space="preserve">COLECTOR EXOGALVA ø 80 mm</t>
  </si>
  <si>
    <t xml:space="preserve">TAG090</t>
  </si>
  <si>
    <t xml:space="preserve">COLECTOR EXOGALVA ø 90 mm</t>
  </si>
  <si>
    <t xml:space="preserve">TAG100</t>
  </si>
  <si>
    <t xml:space="preserve">COLECTOR EXOGALVA ø 100 mm</t>
  </si>
  <si>
    <t xml:space="preserve">TAG110</t>
  </si>
  <si>
    <t xml:space="preserve">COLECTOR EXOGALVA ø 110 mm</t>
  </si>
  <si>
    <t xml:space="preserve">TAG120</t>
  </si>
  <si>
    <t xml:space="preserve">COLECTOR EXOGALVA ø 120 mm</t>
  </si>
  <si>
    <t xml:space="preserve">TAG125</t>
  </si>
  <si>
    <t xml:space="preserve">COLECTOR EXOGALVA ø 125 mm</t>
  </si>
  <si>
    <t xml:space="preserve">TAG130</t>
  </si>
  <si>
    <t xml:space="preserve">COLECTOR EXOGALVA ø 130 mm</t>
  </si>
  <si>
    <t xml:space="preserve">TAG140</t>
  </si>
  <si>
    <t xml:space="preserve">COLECTOR EXOGALVA ø 140 mm</t>
  </si>
  <si>
    <t xml:space="preserve">TAG150</t>
  </si>
  <si>
    <t xml:space="preserve">COLECTOR EXOGALVA ø 150 mm</t>
  </si>
  <si>
    <t xml:space="preserve">TAG175</t>
  </si>
  <si>
    <t xml:space="preserve">COLECTOR EXOGALVA ø 175 mm</t>
  </si>
  <si>
    <t xml:space="preserve">TAG180</t>
  </si>
  <si>
    <t xml:space="preserve">COLECTOR EXOGALVA ø 180 mm</t>
  </si>
  <si>
    <t xml:space="preserve">TAG200</t>
  </si>
  <si>
    <t xml:space="preserve">COLECTOR EXOGALVA ø 200 mm</t>
  </si>
  <si>
    <t xml:space="preserve">TAG250</t>
  </si>
  <si>
    <t xml:space="preserve">COLECTOR EXOGALVA ø 250 mm</t>
  </si>
  <si>
    <t xml:space="preserve">TAG300</t>
  </si>
  <si>
    <t xml:space="preserve">COLECTOR EXOGALVA ø 300 mm</t>
  </si>
  <si>
    <t xml:space="preserve">TAG350</t>
  </si>
  <si>
    <t xml:space="preserve">COLECTOR EXOGALVA ø 350 mm</t>
  </si>
  <si>
    <t xml:space="preserve">TAG400</t>
  </si>
  <si>
    <t xml:space="preserve">COLECTOR EXOGALVA ø 400 mm</t>
  </si>
  <si>
    <t xml:space="preserve">TAG500</t>
  </si>
  <si>
    <t xml:space="preserve">COLECTOR EXOGALVA ø 500 mm</t>
  </si>
  <si>
    <t xml:space="preserve">MG080</t>
  </si>
  <si>
    <t xml:space="preserve">MANGUITO UNION EXOGALVA M-M ø 80 mm</t>
  </si>
  <si>
    <t xml:space="preserve">MG090</t>
  </si>
  <si>
    <t xml:space="preserve">MANGUITO UNION EXOGALVA M-M ø 90 mm</t>
  </si>
  <si>
    <t xml:space="preserve">MG100</t>
  </si>
  <si>
    <t xml:space="preserve">MANGUITO UNION EXOGALVA M-M ø 100 mm</t>
  </si>
  <si>
    <t xml:space="preserve">MG110</t>
  </si>
  <si>
    <t xml:space="preserve">MANGUITO UNION EXOGALVA M-M ø 110 mm</t>
  </si>
  <si>
    <t xml:space="preserve">MG120</t>
  </si>
  <si>
    <t xml:space="preserve">MANGUITO UNION EXOGALVA M-M ø 120 mm</t>
  </si>
  <si>
    <t xml:space="preserve">MG125</t>
  </si>
  <si>
    <t xml:space="preserve">MANGUITO UNION EXOGALVA M-M ø 125 mm</t>
  </si>
  <si>
    <t xml:space="preserve">MG130</t>
  </si>
  <si>
    <t xml:space="preserve">MANGUITO UNION EXOGALVA M-M ø 130 mm</t>
  </si>
  <si>
    <t xml:space="preserve">MG140</t>
  </si>
  <si>
    <t xml:space="preserve">MANGUITO UNION EXOGALVA M-M ø 140 mm</t>
  </si>
  <si>
    <t xml:space="preserve">MG150</t>
  </si>
  <si>
    <t xml:space="preserve">MANGUITO UNION EXOGALVA M-M ø 150 mm</t>
  </si>
  <si>
    <t xml:space="preserve">MG175</t>
  </si>
  <si>
    <t xml:space="preserve">MANGUITO UNION EXOGALVA M-M ø 175 mm</t>
  </si>
  <si>
    <t xml:space="preserve">MG180</t>
  </si>
  <si>
    <t xml:space="preserve">MANGUITO UNION EXOGALVA M-M ø 180 mm</t>
  </si>
  <si>
    <t xml:space="preserve">MG200</t>
  </si>
  <si>
    <t xml:space="preserve">MANGUITO UNION EXOGALVA M-M ø 200 mm</t>
  </si>
  <si>
    <t xml:space="preserve">MG250</t>
  </si>
  <si>
    <t xml:space="preserve">MANGUITO UNION EXOGALVA M-M ø 250 mm</t>
  </si>
  <si>
    <t xml:space="preserve">MG300</t>
  </si>
  <si>
    <t xml:space="preserve">MANGUITO UNION EXOGALVA M-M ø 300 mm</t>
  </si>
  <si>
    <t xml:space="preserve">MG350</t>
  </si>
  <si>
    <t xml:space="preserve">MANGUITO UNION EXOGALVA M-M ø 350 mm</t>
  </si>
  <si>
    <t xml:space="preserve">MG400</t>
  </si>
  <si>
    <t xml:space="preserve">MANGUITO UNION EXOGALVA M-M ø 400 mm</t>
  </si>
  <si>
    <t xml:space="preserve">MG500</t>
  </si>
  <si>
    <t xml:space="preserve">MANGUITO UNION EXOGALVA M-M ø 500 mm</t>
  </si>
  <si>
    <t xml:space="preserve">MGH080</t>
  </si>
  <si>
    <t xml:space="preserve">MANGUITO UNION EXOGALVA H-H ø 80 mm</t>
  </si>
  <si>
    <t xml:space="preserve">MGH090</t>
  </si>
  <si>
    <t xml:space="preserve">MANGUITO UNION EXOGALVA H-H ø 90 mm</t>
  </si>
  <si>
    <t xml:space="preserve">MGH100</t>
  </si>
  <si>
    <t xml:space="preserve">MANGUITO UNION EXOGALVA H-H ø 100 mm</t>
  </si>
  <si>
    <t xml:space="preserve">MGH110</t>
  </si>
  <si>
    <t xml:space="preserve">MANGUITO UNION EXOGALVA H-H ø 110 mm</t>
  </si>
  <si>
    <t xml:space="preserve">MGH120</t>
  </si>
  <si>
    <t xml:space="preserve">MANGUITO UNION EXOGALVA H-H ø 120 mm</t>
  </si>
  <si>
    <t xml:space="preserve">MGH125</t>
  </si>
  <si>
    <t xml:space="preserve">MANGUITO UNION EXOGALVA H-H ø 125 mm</t>
  </si>
  <si>
    <t xml:space="preserve">MGH130</t>
  </si>
  <si>
    <t xml:space="preserve">MANGUITO UNION EXOGALVA H-H ø 130 mm</t>
  </si>
  <si>
    <t xml:space="preserve">MGH140</t>
  </si>
  <si>
    <t xml:space="preserve">MANGUITO UNION EXOGALVA H-H ø 140 mm</t>
  </si>
  <si>
    <t xml:space="preserve">MGH150</t>
  </si>
  <si>
    <t xml:space="preserve">MANGUITO UNION EXOGALVA H-H ø 150 mm</t>
  </si>
  <si>
    <t xml:space="preserve">MGH175</t>
  </si>
  <si>
    <t xml:space="preserve">MANGUITO UNION EXOGALVA H-H ø 175 mm</t>
  </si>
  <si>
    <t xml:space="preserve">MGH180</t>
  </si>
  <si>
    <t xml:space="preserve">MANGUITO UNION EXOGALVA H-H ø 180 mm</t>
  </si>
  <si>
    <t xml:space="preserve">MGH200</t>
  </si>
  <si>
    <t xml:space="preserve">MANGUITO UNION EXOGALVA H-H ø 200 mm</t>
  </si>
  <si>
    <t xml:space="preserve">MGH250</t>
  </si>
  <si>
    <t xml:space="preserve">MANGUITO UNION EXOGALVA H-H ø 250 mm</t>
  </si>
  <si>
    <t xml:space="preserve">MGH300</t>
  </si>
  <si>
    <t xml:space="preserve">MANGUITO UNION EXOGALVA H-H ø 300 mm</t>
  </si>
  <si>
    <t xml:space="preserve">MGH350</t>
  </si>
  <si>
    <t xml:space="preserve">MANGUITO UNION EXOGALVA H-H ø 350 mm</t>
  </si>
  <si>
    <t xml:space="preserve">MGH400</t>
  </si>
  <si>
    <t xml:space="preserve">MANGUITO UNION EXOGALVA H-H ø 400 mm</t>
  </si>
  <si>
    <t xml:space="preserve">MGH500</t>
  </si>
  <si>
    <t xml:space="preserve">MANGUITO UNION EXOGALVA H-H ø 500 mm</t>
  </si>
  <si>
    <t xml:space="preserve">AGE100110</t>
  </si>
  <si>
    <t xml:space="preserve">AMPLIACION EXOGALVA ø 100-110 mm</t>
  </si>
  <si>
    <t xml:space="preserve">AGE100120</t>
  </si>
  <si>
    <t xml:space="preserve">AMPLIACION EXOGALVA ø 100-120 mm</t>
  </si>
  <si>
    <t xml:space="preserve">AGE110120</t>
  </si>
  <si>
    <t xml:space="preserve">AMPLIACION EXOGALVA ø 110-120 mm</t>
  </si>
  <si>
    <t xml:space="preserve">AGE120125</t>
  </si>
  <si>
    <t xml:space="preserve">AMPLIACION EXOGALVA ø 120-125 mm</t>
  </si>
  <si>
    <t xml:space="preserve">AGE120130</t>
  </si>
  <si>
    <t xml:space="preserve">AMPLIACION EXOGALVA ø 120-130 mm</t>
  </si>
  <si>
    <t xml:space="preserve">AGE120150</t>
  </si>
  <si>
    <t xml:space="preserve">AMPLIACION EXOGALVA ø 120-150 mm</t>
  </si>
  <si>
    <t xml:space="preserve">AGE125150</t>
  </si>
  <si>
    <t xml:space="preserve">AMPLIACION EXOGALVA ø 125-150 mm</t>
  </si>
  <si>
    <t xml:space="preserve">AGE150175</t>
  </si>
  <si>
    <t xml:space="preserve">AMPLIACION EXOGALVA ø 150-175 mm</t>
  </si>
  <si>
    <t xml:space="preserve">AGE150200</t>
  </si>
  <si>
    <t xml:space="preserve">AMPLIACION EXOGALVA ø 150-200 mm</t>
  </si>
  <si>
    <t xml:space="preserve">AGE175180</t>
  </si>
  <si>
    <t xml:space="preserve">AMPLIACION EXOGALVA ø 175-180 mm</t>
  </si>
  <si>
    <t xml:space="preserve">AGE175200</t>
  </si>
  <si>
    <t xml:space="preserve">AMPLIACION EXOGALVA ø 175-200 mm</t>
  </si>
  <si>
    <t xml:space="preserve">AGE200250</t>
  </si>
  <si>
    <t xml:space="preserve">AMPLIACION EXOGALVA ø 200-250 mm</t>
  </si>
  <si>
    <t xml:space="preserve">AGE200300</t>
  </si>
  <si>
    <t xml:space="preserve">AMPLIACION EXOGALVA ø 200-300 mm</t>
  </si>
  <si>
    <t xml:space="preserve">AGE250300</t>
  </si>
  <si>
    <t xml:space="preserve">AMPLIACION EXOGALVA ø 250-300 mm</t>
  </si>
  <si>
    <t xml:space="preserve">RG110100</t>
  </si>
  <si>
    <t xml:space="preserve">REDUCCION EXOGALVA ø 110-100 mm</t>
  </si>
  <si>
    <t xml:space="preserve">RG120100</t>
  </si>
  <si>
    <t xml:space="preserve">REDUCCION EXOGALVA ø 120-100 mm</t>
  </si>
  <si>
    <t xml:space="preserve">RG120110</t>
  </si>
  <si>
    <t xml:space="preserve">REDUCCION EXOGALVA ø 120-110 mm</t>
  </si>
  <si>
    <t xml:space="preserve">RG125120</t>
  </si>
  <si>
    <t xml:space="preserve">REDUCCION EXOGALVA ø 125-120 mm</t>
  </si>
  <si>
    <t xml:space="preserve">RG130120</t>
  </si>
  <si>
    <t xml:space="preserve">REDUCCION EXOGALVA ø 130-120 mm</t>
  </si>
  <si>
    <t xml:space="preserve">RG150120</t>
  </si>
  <si>
    <t xml:space="preserve">REDUCCION EXOGALVA ø 150-120 mm</t>
  </si>
  <si>
    <t xml:space="preserve">RG150125</t>
  </si>
  <si>
    <t xml:space="preserve">REDUCCION EXOGALVA ø 150-125 mm</t>
  </si>
  <si>
    <t xml:space="preserve">RG175150</t>
  </si>
  <si>
    <t xml:space="preserve">REDUCCION EXOGALVA ø 175-150 mm</t>
  </si>
  <si>
    <t xml:space="preserve">RG180175</t>
  </si>
  <si>
    <t xml:space="preserve">REDUCCION EXOGALVA ø 180-175 mm</t>
  </si>
  <si>
    <t xml:space="preserve">RG200150</t>
  </si>
  <si>
    <t xml:space="preserve">REDUCCION EXOGALVA ø 200-150 mm</t>
  </si>
  <si>
    <t xml:space="preserve">RG200175</t>
  </si>
  <si>
    <t xml:space="preserve">REDUCCION EXOGALVA ø 200-175 mm</t>
  </si>
  <si>
    <t xml:space="preserve">RG250200</t>
  </si>
  <si>
    <t xml:space="preserve">REDUCCION EXOGALVA ø 250-200 mm</t>
  </si>
  <si>
    <t xml:space="preserve">RG300200</t>
  </si>
  <si>
    <t xml:space="preserve">REDUCCION EXOGALVA ø 300-200 mm</t>
  </si>
  <si>
    <t xml:space="preserve">RG300250</t>
  </si>
  <si>
    <t xml:space="preserve">REDUCCION EXOGALVA ø 300-250 mm</t>
  </si>
  <si>
    <t xml:space="preserve">ABGA080</t>
  </si>
  <si>
    <t xml:space="preserve">SOPORTE MURAL EXOGALVA ø 80 mm</t>
  </si>
  <si>
    <t xml:space="preserve">ABGA090</t>
  </si>
  <si>
    <t xml:space="preserve">SOPORTE MURAL EXOGALVA ø 90 mm</t>
  </si>
  <si>
    <t xml:space="preserve">ABGA100</t>
  </si>
  <si>
    <t xml:space="preserve">SOPORTE MURAL EXOGALVA ø 100 mm</t>
  </si>
  <si>
    <t xml:space="preserve">ABGA110</t>
  </si>
  <si>
    <t xml:space="preserve">SOPORTE MURAL EXOGALVA ø 110 mm</t>
  </si>
  <si>
    <t xml:space="preserve">ABGA125</t>
  </si>
  <si>
    <t xml:space="preserve">SOPORTE MURAL EXOGALVA ø 120-125 mm</t>
  </si>
  <si>
    <t xml:space="preserve">ABGA130</t>
  </si>
  <si>
    <t xml:space="preserve">SOPORTE MURAL EXOGALVA ø 130 mm</t>
  </si>
  <si>
    <t xml:space="preserve">ABGA140</t>
  </si>
  <si>
    <t xml:space="preserve">SOPORTE MURAL EXOGALVA ø 140 mm</t>
  </si>
  <si>
    <t xml:space="preserve">ABGA150</t>
  </si>
  <si>
    <t xml:space="preserve">SOPORTE MURAL EXOGALVA ø 150 mm</t>
  </si>
  <si>
    <t xml:space="preserve">ABGA175</t>
  </si>
  <si>
    <t xml:space="preserve">SOPORTE MURAL EXOGALVA ø 175-180 mm</t>
  </si>
  <si>
    <t xml:space="preserve">ABGA200</t>
  </si>
  <si>
    <t xml:space="preserve">SOPORTE MURAL EXOGALVA ø 200 mm</t>
  </si>
  <si>
    <t xml:space="preserve">ABGA250</t>
  </si>
  <si>
    <t xml:space="preserve">SOPORTE MURAL EXOGALVA ø 250 mm</t>
  </si>
  <si>
    <t xml:space="preserve">ABGA300</t>
  </si>
  <si>
    <t xml:space="preserve">SOPORTE MURAL EXOGALVA ø 300 mm</t>
  </si>
  <si>
    <t xml:space="preserve">AB2P200</t>
  </si>
  <si>
    <t xml:space="preserve">SOPORTE MURAL DOBLE ANCLAJE EXOGALVA ø 200 mm</t>
  </si>
  <si>
    <t xml:space="preserve">ABRAZ.ANCL</t>
  </si>
  <si>
    <t xml:space="preserve">AB2P250</t>
  </si>
  <si>
    <t xml:space="preserve">SOPORTE MURAL DOBLE ANCLAJE EXOGALVA ø 250 mm</t>
  </si>
  <si>
    <t xml:space="preserve">AB2P300</t>
  </si>
  <si>
    <t xml:space="preserve">SOPORTE MURAL DOBLE ANCLAJE EXOGALVA ø 300 mm</t>
  </si>
  <si>
    <t xml:space="preserve">AB2P350</t>
  </si>
  <si>
    <t xml:space="preserve">SOPORTE MURAL DOBLE ANCLAJE EXOGALVA ø 350 mm</t>
  </si>
  <si>
    <t xml:space="preserve">AB2P400</t>
  </si>
  <si>
    <t xml:space="preserve">SOPORTE MURAL DOBLE ANCLAJE EXOGALVA ø 400 mm</t>
  </si>
  <si>
    <t xml:space="preserve">AB2P450</t>
  </si>
  <si>
    <t xml:space="preserve">SOPORTE MURAL DOBLE ANCLAJE EXOGALVA ø 450 mm</t>
  </si>
  <si>
    <t xml:space="preserve">AB2P500</t>
  </si>
  <si>
    <t xml:space="preserve">SOPORTE MURAL DOBLE ANCLAJE EXOGALVA ø 500 mm</t>
  </si>
  <si>
    <t xml:space="preserve">ABM8080</t>
  </si>
  <si>
    <t xml:space="preserve">SOPORTE M8 EXOGALVA ø 80 mm</t>
  </si>
  <si>
    <t xml:space="preserve">ABM8100</t>
  </si>
  <si>
    <t xml:space="preserve">SOPORTE M8 EXOGALVA ø 100 mm</t>
  </si>
  <si>
    <t xml:space="preserve">ABM8110</t>
  </si>
  <si>
    <t xml:space="preserve">SOPORTE M8 EXOGALVA ø 110 mm</t>
  </si>
  <si>
    <t xml:space="preserve">ABM8125</t>
  </si>
  <si>
    <t xml:space="preserve">SOPORTE M8 EXOGALVA ø 120-125 mm</t>
  </si>
  <si>
    <t xml:space="preserve">ABM8150</t>
  </si>
  <si>
    <t xml:space="preserve">SOPORTE M8 EXOGALVA ø 150 mm</t>
  </si>
  <si>
    <t xml:space="preserve">ABM8175</t>
  </si>
  <si>
    <t xml:space="preserve">SOPORTE M8 EXOGALVA ø 175-180 mm</t>
  </si>
  <si>
    <t xml:space="preserve">ABM8200</t>
  </si>
  <si>
    <t xml:space="preserve">SOPORTE M8 EXOGALVA ø 200 mm</t>
  </si>
  <si>
    <t xml:space="preserve">ABM8250</t>
  </si>
  <si>
    <t xml:space="preserve">SOPORTE M8 EXOGALVA ø 250 mm</t>
  </si>
  <si>
    <t xml:space="preserve">ABM8300</t>
  </si>
  <si>
    <t xml:space="preserve">SOPORTE M8 EXOGALVA ø 300 mm</t>
  </si>
  <si>
    <t xml:space="preserve">ABM8350</t>
  </si>
  <si>
    <t xml:space="preserve">SOPORTE M8 EXOGALVA ø 350 mm</t>
  </si>
  <si>
    <t xml:space="preserve">ABM8400</t>
  </si>
  <si>
    <t xml:space="preserve">SOPORTE M8 EXOGALVA ø 400 mm</t>
  </si>
  <si>
    <t xml:space="preserve">ABM8450</t>
  </si>
  <si>
    <t xml:space="preserve">SOPORTE M8 EXOGALVA ø 450 mm</t>
  </si>
  <si>
    <t xml:space="preserve">ABM8500</t>
  </si>
  <si>
    <t xml:space="preserve">SOPORTE M8 EXOGALVA ø 500 mm</t>
  </si>
  <si>
    <t xml:space="preserve">SG080</t>
  </si>
  <si>
    <t xml:space="preserve">TERMINAL CHINO EXOGALVA ø 80 mm</t>
  </si>
  <si>
    <t xml:space="preserve">SG090</t>
  </si>
  <si>
    <t xml:space="preserve">TERMINAL CHINO EXOGALVA ø 90 mm</t>
  </si>
  <si>
    <t xml:space="preserve">SG100</t>
  </si>
  <si>
    <t xml:space="preserve">TERMINAL CHINO EXOGALVA ø 100 mm</t>
  </si>
  <si>
    <t xml:space="preserve">SG110</t>
  </si>
  <si>
    <t xml:space="preserve">TERMINAL CHINO EXOGALVA ø 110 mm</t>
  </si>
  <si>
    <t xml:space="preserve">SG120</t>
  </si>
  <si>
    <t xml:space="preserve">TERMINAL CHINO EXOGALVA ø 120 mm</t>
  </si>
  <si>
    <t xml:space="preserve">SG125</t>
  </si>
  <si>
    <t xml:space="preserve">TERMINAL CHINO EXOGALVA ø 125 mm</t>
  </si>
  <si>
    <t xml:space="preserve">SG130</t>
  </si>
  <si>
    <t xml:space="preserve">TERMINAL CHINO EXOGALVA ø 130 mm</t>
  </si>
  <si>
    <t xml:space="preserve">SG140</t>
  </si>
  <si>
    <t xml:space="preserve">TERMINAL CHINO EXOGALVA ø 140 mm</t>
  </si>
  <si>
    <t xml:space="preserve">SG150</t>
  </si>
  <si>
    <t xml:space="preserve">TERMINAL CHINO EXOGALVA ø 150 mm</t>
  </si>
  <si>
    <t xml:space="preserve">SG175</t>
  </si>
  <si>
    <t xml:space="preserve">TERMINAL CHINO EXOGALVA ø 175 mm</t>
  </si>
  <si>
    <t xml:space="preserve">SG180</t>
  </si>
  <si>
    <t xml:space="preserve">TERMINAL CHINO EXOGALVA ø 180 mm</t>
  </si>
  <si>
    <t xml:space="preserve">SG200</t>
  </si>
  <si>
    <t xml:space="preserve">TERMINAL CHINO EXOGALVA ø 200 mm</t>
  </si>
  <si>
    <t xml:space="preserve">SG250</t>
  </si>
  <si>
    <t xml:space="preserve">TERMINAL CHINO EXOGALVA ø 250 mm</t>
  </si>
  <si>
    <t xml:space="preserve">SG300</t>
  </si>
  <si>
    <t xml:space="preserve">TERMINAL CHINO EXOGALVA ø 300 mm</t>
  </si>
  <si>
    <t xml:space="preserve">SG350</t>
  </si>
  <si>
    <t xml:space="preserve">TERMINAL CHINO EXOGALVA ø 350 mm</t>
  </si>
  <si>
    <t xml:space="preserve">SG400</t>
  </si>
  <si>
    <t xml:space="preserve">TERMINAL CHINO EXOGALVA ø 400 mm</t>
  </si>
  <si>
    <t xml:space="preserve">SG500</t>
  </si>
  <si>
    <t xml:space="preserve">TERMINAL CHINO EXOGALVA ø 500 mm</t>
  </si>
  <si>
    <t xml:space="preserve">SG100A</t>
  </si>
  <si>
    <t xml:space="preserve">TERMINAL CHINO EXOGALVA ø 100 mm C/ABRAZ.</t>
  </si>
  <si>
    <t xml:space="preserve">SG110A</t>
  </si>
  <si>
    <t xml:space="preserve">TERMINAL CHINO EXOGALVA ø 110 mm C/ABRAZ.</t>
  </si>
  <si>
    <t xml:space="preserve">SG120A</t>
  </si>
  <si>
    <t xml:space="preserve">TERMINAL CHINO EXOGALVA ø 120 mm C/ABRAZ.</t>
  </si>
  <si>
    <t xml:space="preserve">SG125A</t>
  </si>
  <si>
    <t xml:space="preserve">TERMINAL CHINO EXOGALVA ø 125 mm C/ABRAZ.</t>
  </si>
  <si>
    <t xml:space="preserve">SG150A</t>
  </si>
  <si>
    <t xml:space="preserve">TERMINAL CHINO EXOGALVA ø 150 mm C/ABRAZ.</t>
  </si>
  <si>
    <t xml:space="preserve">SG175A</t>
  </si>
  <si>
    <t xml:space="preserve">TERMINAL CHINO EXOGALVA ø 175 mm C/ABRAZ.</t>
  </si>
  <si>
    <t xml:space="preserve">SG180A</t>
  </si>
  <si>
    <t xml:space="preserve">TERMINAL CHINO EXOGALVA ø 180 mm C/ABRAZ.</t>
  </si>
  <si>
    <t xml:space="preserve">SG200A</t>
  </si>
  <si>
    <t xml:space="preserve">TERMINAL CHINO EXOGALVA ø 200 mm C/ABRAZ.</t>
  </si>
  <si>
    <t xml:space="preserve">SG250A</t>
  </si>
  <si>
    <t xml:space="preserve">TERMINAL CHINO EXOGALVA ø 250 mm C/ABRAZ.</t>
  </si>
  <si>
    <t xml:space="preserve">SG300A</t>
  </si>
  <si>
    <t xml:space="preserve">TERMINAL CHINO EXOGALVA ø 300 mm C/ABRAZ.</t>
  </si>
  <si>
    <t xml:space="preserve">SG350A</t>
  </si>
  <si>
    <t xml:space="preserve">TERMINAL CHINO EXOGALVA ø 350 mm C/ABRAZ.</t>
  </si>
  <si>
    <t xml:space="preserve">SG400A</t>
  </si>
  <si>
    <t xml:space="preserve">TERMINAL CHINO EXOGALVA ø 400 mm C/ABRAZ.</t>
  </si>
  <si>
    <t xml:space="preserve">SG500A</t>
  </si>
  <si>
    <t xml:space="preserve">TERMINAL CHINO EXOGALVA ø 500 mm C/ABRAZ.</t>
  </si>
  <si>
    <t xml:space="preserve">AG080</t>
  </si>
  <si>
    <t xml:space="preserve">TERMINAL ANTIRREVOCANTE EXOGALVA ø 80 mm</t>
  </si>
  <si>
    <t xml:space="preserve">AG090</t>
  </si>
  <si>
    <t xml:space="preserve">TERMINAL ANTIRREVOCANTE EXOGALVA ø 90 mm</t>
  </si>
  <si>
    <t xml:space="preserve">AG100</t>
  </si>
  <si>
    <t xml:space="preserve">TERMINAL ANTIRREVOCANTE EXOGALVA ø 100 mm</t>
  </si>
  <si>
    <t xml:space="preserve">AG110</t>
  </si>
  <si>
    <t xml:space="preserve">TERMINAL ANTIRREVOCANTE EXOGALVA ø 110 mm</t>
  </si>
  <si>
    <t xml:space="preserve">AG120</t>
  </si>
  <si>
    <t xml:space="preserve">TERMINAL ANTIRREVOCANTE EXOGALVA ø 120 mm</t>
  </si>
  <si>
    <t xml:space="preserve">AG125</t>
  </si>
  <si>
    <t xml:space="preserve">TERMINAL ANTIRREVOCANTE EXOGALVA ø 125 mm</t>
  </si>
  <si>
    <t xml:space="preserve">AG130</t>
  </si>
  <si>
    <t xml:space="preserve">TERMINAL ANTIRREVOCANTE EXOGALVA ø 130 mm</t>
  </si>
  <si>
    <t xml:space="preserve">AG140</t>
  </si>
  <si>
    <t xml:space="preserve">TERMINAL ANTIRREVOCANTE EXOGALVA ø 140 mm</t>
  </si>
  <si>
    <t xml:space="preserve">AG150</t>
  </si>
  <si>
    <t xml:space="preserve">TERMINAL ANTIRREVOCANTE EXOGALVA ø 150 mm</t>
  </si>
  <si>
    <t xml:space="preserve">AG175</t>
  </si>
  <si>
    <t xml:space="preserve">TERMINAL ANTIRREVOCANTE EXOGALVA ø 175 mm</t>
  </si>
  <si>
    <t xml:space="preserve">AG180</t>
  </si>
  <si>
    <t xml:space="preserve">TERMINAL ANTIRREVOCANTE EXOGALVA ø 180 mm</t>
  </si>
  <si>
    <t xml:space="preserve">AG200</t>
  </si>
  <si>
    <t xml:space="preserve">TERMINAL ANTIRREVOCANTE EXOGALVA ø 200 mm</t>
  </si>
  <si>
    <t xml:space="preserve">AG250</t>
  </si>
  <si>
    <t xml:space="preserve">TERMINAL ANTIRREVOCANTE EXOGALVA ø 250 mm</t>
  </si>
  <si>
    <t xml:space="preserve">AG300</t>
  </si>
  <si>
    <t xml:space="preserve">TERMINAL ANTIRREVOCANTE EXOGALVA ø 300 mm</t>
  </si>
  <si>
    <t xml:space="preserve">AG350</t>
  </si>
  <si>
    <t xml:space="preserve">TERMINAL ANTIRREVOCANTE EXOGALVA ø 350 mm</t>
  </si>
  <si>
    <t xml:space="preserve">AG400</t>
  </si>
  <si>
    <t xml:space="preserve">TERMINAL ANTIRREVOCANTE EXOGALVA ø 400 mm</t>
  </si>
  <si>
    <t xml:space="preserve">AG500</t>
  </si>
  <si>
    <t xml:space="preserve">TERMINAL ANTIRREVOCANTE EXOGALVA ø 500 mm</t>
  </si>
  <si>
    <t xml:space="preserve">AG100A</t>
  </si>
  <si>
    <t xml:space="preserve">TERMINAL ANTIRREVOCANTE EXOGALVA ø 100 mm C/ABRAZ.</t>
  </si>
  <si>
    <t xml:space="preserve">AG110A</t>
  </si>
  <si>
    <t xml:space="preserve">TERMINAL ANTIRREVOCANTE EXOGALVA ø 110 mm C/ABRAZ.</t>
  </si>
  <si>
    <t xml:space="preserve">AG120A</t>
  </si>
  <si>
    <t xml:space="preserve">TERMINAL ANTIRREVOCANTE EXOGALVA ø 120 mm C/ABRAZ.</t>
  </si>
  <si>
    <t xml:space="preserve">AG125A</t>
  </si>
  <si>
    <t xml:space="preserve">TERMINAL ANTIRREVOCANTE EXOGALVA ø 125 mm C/ABRAZ.</t>
  </si>
  <si>
    <t xml:space="preserve">AG150A</t>
  </si>
  <si>
    <t xml:space="preserve">TERMINAL ANTIRREVOCANTE EXOGALVA ø 150 mm C/ABRAZ.</t>
  </si>
  <si>
    <t xml:space="preserve">AG175A</t>
  </si>
  <si>
    <t xml:space="preserve">TERMINAL ANTIRREVOCANTE EXOGALVA ø 175 mm C/ABRAZ.</t>
  </si>
  <si>
    <t xml:space="preserve">AG180A</t>
  </si>
  <si>
    <t xml:space="preserve">TERMINAL ANTIRREVOCANTE EXOGALVA ø 180 mm C/ABRAZ.</t>
  </si>
  <si>
    <t xml:space="preserve">AG200A</t>
  </si>
  <si>
    <t xml:space="preserve">TERMINAL ANTIRREVOCANTE EXOGALVA ø 200 mm C/ABRAZ.</t>
  </si>
  <si>
    <t xml:space="preserve">AG250A</t>
  </si>
  <si>
    <t xml:space="preserve">TERMINAL ANTIRREVOCANTE EXOGALVA ø 250 mm C/ABRAZ.</t>
  </si>
  <si>
    <t xml:space="preserve">AG300A</t>
  </si>
  <si>
    <t xml:space="preserve">TERMINAL ANTIRREVOCANTE EXOGALVA ø 300 mm C/ABRAZ.</t>
  </si>
  <si>
    <t xml:space="preserve">AG350A</t>
  </si>
  <si>
    <t xml:space="preserve">TERMINAL ANTIRREVOCANTE EXOGALVA ø 350 mm C/ABRAZ.</t>
  </si>
  <si>
    <t xml:space="preserve">AG400A</t>
  </si>
  <si>
    <t xml:space="preserve">TERMINAL ANTIRREVOCANTE EXOGALVA ø 400 mm C/ABRAZ.</t>
  </si>
  <si>
    <t xml:space="preserve">AG500A</t>
  </si>
  <si>
    <t xml:space="preserve">TERMINAL ANTIRREVOCANTE EXOGALVA ø 500 mm C/ABRAZ.</t>
  </si>
  <si>
    <t xml:space="preserve">GG100</t>
  </si>
  <si>
    <t xml:space="preserve">TERMINAL GIRATORIO EXOGALVA ø 100 mm</t>
  </si>
  <si>
    <t xml:space="preserve">SOMB GIRA</t>
  </si>
  <si>
    <t xml:space="preserve">GG110</t>
  </si>
  <si>
    <t xml:space="preserve">TERMINAL GIRATORIO EXOGALVA ø 110 mm</t>
  </si>
  <si>
    <t xml:space="preserve">GG120</t>
  </si>
  <si>
    <t xml:space="preserve">TERMINAL GIRATORIO EXOGALVA ø 120 mm</t>
  </si>
  <si>
    <t xml:space="preserve">GG125</t>
  </si>
  <si>
    <t xml:space="preserve">TERMINAL GIRATORIO EXOGALVA ø 125 mm</t>
  </si>
  <si>
    <t xml:space="preserve">GG130</t>
  </si>
  <si>
    <t xml:space="preserve">TERMINAL GIRATORIO EXOGALVA ø 130 mm</t>
  </si>
  <si>
    <t xml:space="preserve">GG140</t>
  </si>
  <si>
    <t xml:space="preserve">TERMINAL GIRATORIO EXOGALVA ø 140 mm</t>
  </si>
  <si>
    <t xml:space="preserve">GG150</t>
  </si>
  <si>
    <t xml:space="preserve">TERMINAL GIRATORIO EXOGALVA ø 150 mm</t>
  </si>
  <si>
    <t xml:space="preserve">GG175</t>
  </si>
  <si>
    <t xml:space="preserve">TERMINAL GIRATORIO EXOGALVA ø 175 mm</t>
  </si>
  <si>
    <t xml:space="preserve">GG180</t>
  </si>
  <si>
    <t xml:space="preserve">TERMINAL GIRATORIO EXOGALVA ø 180 mm</t>
  </si>
  <si>
    <t xml:space="preserve">GG200</t>
  </si>
  <si>
    <t xml:space="preserve">TERMINAL GIRATORIO EXOGALVA ø 200 mm</t>
  </si>
  <si>
    <t xml:space="preserve">GG250</t>
  </si>
  <si>
    <t xml:space="preserve">TERMINAL GIRATORIO EXOGALVA ø 250 mm</t>
  </si>
  <si>
    <t xml:space="preserve">GG300</t>
  </si>
  <si>
    <t xml:space="preserve">TERMINAL GIRATORIO EXOGALVA ø 300 mm</t>
  </si>
  <si>
    <t xml:space="preserve">GG500</t>
  </si>
  <si>
    <t xml:space="preserve">TERMINAL GIRATORIO EXOGALVA ø 500 mm</t>
  </si>
  <si>
    <t xml:space="preserve">EG100</t>
  </si>
  <si>
    <t xml:space="preserve">TERMINAL EXTRACTOR EXOGALVA ø 100 mm</t>
  </si>
  <si>
    <t xml:space="preserve">EG110</t>
  </si>
  <si>
    <t xml:space="preserve">TERMINAL EXTRACTOR EXOGALVA ø 110 mm</t>
  </si>
  <si>
    <t xml:space="preserve">EG120</t>
  </si>
  <si>
    <t xml:space="preserve">TERMINAL EXTRACTOR EXOGALVA ø 120 mm</t>
  </si>
  <si>
    <t xml:space="preserve">EG125</t>
  </si>
  <si>
    <t xml:space="preserve">TERMINAL EXTRACTOR EXOGALVA ø 125 mm</t>
  </si>
  <si>
    <t xml:space="preserve">EG130</t>
  </si>
  <si>
    <t xml:space="preserve">TERMINAL EXTRACTOR EXOGALVA ø 130 mm</t>
  </si>
  <si>
    <t xml:space="preserve">EG140</t>
  </si>
  <si>
    <t xml:space="preserve">TERMINAL EXTRACTOR EXOGALVA ø 140 mm</t>
  </si>
  <si>
    <t xml:space="preserve">EG150</t>
  </si>
  <si>
    <t xml:space="preserve">TERMINAL EXTRACTOR EXOGALVA ø 150 mm</t>
  </si>
  <si>
    <t xml:space="preserve">EG175</t>
  </si>
  <si>
    <t xml:space="preserve">TERMINAL EXTRACTOR EXOGALVA ø 175 mm</t>
  </si>
  <si>
    <t xml:space="preserve">EG180</t>
  </si>
  <si>
    <t xml:space="preserve">TERMINAL EXTRACTOR EXOGALVA ø 180 mm</t>
  </si>
  <si>
    <t xml:space="preserve">EG200</t>
  </si>
  <si>
    <t xml:space="preserve">TERMINAL EXTRACTOR EXOGALVA ø 200 mm</t>
  </si>
  <si>
    <t xml:space="preserve">EG250</t>
  </si>
  <si>
    <t xml:space="preserve">TERMINAL EXTRACTOR EXOGALVA ø 250 mm</t>
  </si>
  <si>
    <t xml:space="preserve">EG300</t>
  </si>
  <si>
    <t xml:space="preserve">TERMINAL EXTRACTOR EXOGALVA ø 300 mm</t>
  </si>
  <si>
    <t xml:space="preserve">EG350</t>
  </si>
  <si>
    <t xml:space="preserve">TERMINAL EXTRACTOR EXOGALVA ø 350 mm</t>
  </si>
  <si>
    <t xml:space="preserve">EG400</t>
  </si>
  <si>
    <t xml:space="preserve">TERMINAL EXTRACTOR EXOGALVA ø 400 mm</t>
  </si>
  <si>
    <t xml:space="preserve">EG500</t>
  </si>
  <si>
    <t xml:space="preserve">TERMINAL EXTRACTOR EXOGALVA ø 500 mm</t>
  </si>
  <si>
    <t xml:space="preserve">TF080</t>
  </si>
  <si>
    <t xml:space="preserve">TUBO EXOFLEX ALUMINIO ø 80 mm 5M</t>
  </si>
  <si>
    <t xml:space="preserve">ALUMINIO</t>
  </si>
  <si>
    <t xml:space="preserve">TF090</t>
  </si>
  <si>
    <t xml:space="preserve">TUBO EXOFLEX ALUMINIO ø 90 mm 5M</t>
  </si>
  <si>
    <t xml:space="preserve">TF100</t>
  </si>
  <si>
    <t xml:space="preserve">TUBO EXOFLEX ALUMINIO ø 100 mm 5M</t>
  </si>
  <si>
    <t xml:space="preserve">TF110</t>
  </si>
  <si>
    <t xml:space="preserve">TUBO EXOFLEX ALUMINIO ø 110 mm 5M</t>
  </si>
  <si>
    <t xml:space="preserve">TF120</t>
  </si>
  <si>
    <t xml:space="preserve">TUBO EXOFLEX ALUMINIO ø 120 mm 5M</t>
  </si>
  <si>
    <t xml:space="preserve">TF125</t>
  </si>
  <si>
    <t xml:space="preserve">TUBO EXOFLEX ALUMINIO ø 125 mm 5M</t>
  </si>
  <si>
    <t xml:space="preserve">TF150</t>
  </si>
  <si>
    <t xml:space="preserve">TUBO EXOFLEX ALUMINIO ø 150 mm 5M</t>
  </si>
  <si>
    <t xml:space="preserve">TF175</t>
  </si>
  <si>
    <t xml:space="preserve">TUBO EXOFLEX ALUMINIO ø 175 mm 5M</t>
  </si>
  <si>
    <t xml:space="preserve">TF180</t>
  </si>
  <si>
    <t xml:space="preserve">TUBO EXOFLEX ALUMINIO ø 180 mm 5M</t>
  </si>
  <si>
    <t xml:space="preserve">TF200</t>
  </si>
  <si>
    <t xml:space="preserve">TUBO EXOFLEX ALUMINIO ø 200 mm 5M</t>
  </si>
  <si>
    <t xml:space="preserve">AELECTRICO</t>
  </si>
  <si>
    <t xml:space="preserve">ASPIRADOR ELECTRICO</t>
  </si>
  <si>
    <t xml:space="preserve">ZINCO GROU</t>
  </si>
  <si>
    <t xml:space="preserve">RE150150</t>
  </si>
  <si>
    <t xml:space="preserve">REJILLA ENCASTRAR DE 150x150 BLANCA</t>
  </si>
  <si>
    <t xml:space="preserve">REJILLA</t>
  </si>
  <si>
    <t xml:space="preserve">RE150300</t>
  </si>
  <si>
    <t xml:space="preserve">REJILLA ENCASTRAR DE 150x300 BLANCA</t>
  </si>
  <si>
    <t xml:space="preserve">REG150150</t>
  </si>
  <si>
    <t xml:space="preserve">REJILLA ENCASTRAR DE 150X150 GRIS</t>
  </si>
  <si>
    <t xml:space="preserve">REG150300</t>
  </si>
  <si>
    <t xml:space="preserve">REJILLA ENCASTRAR DE 150X300 GRIS</t>
  </si>
  <si>
    <t xml:space="preserve">RER150150</t>
  </si>
  <si>
    <t xml:space="preserve">REJILLA ENCASTRAR REGULABLE DE 150x150 BLANCA</t>
  </si>
  <si>
    <t xml:space="preserve">RERG150150</t>
  </si>
  <si>
    <t xml:space="preserve">REJILLA ENCASTRAR REGULABLE DE 150x150 GRIS</t>
  </si>
  <si>
    <t xml:space="preserve">CA5010</t>
  </si>
  <si>
    <t xml:space="preserve">CINTA ALUMINIO 50x10</t>
  </si>
  <si>
    <t xml:space="preserve">BIO-PACK</t>
  </si>
  <si>
    <t xml:space="preserve">CA5045</t>
  </si>
  <si>
    <t xml:space="preserve">CINTA ALUMINIO 50x45</t>
  </si>
  <si>
    <t xml:space="preserve">CAN5010</t>
  </si>
  <si>
    <t xml:space="preserve">CINTA ALUMINIO NEGRA 50 x 10</t>
  </si>
  <si>
    <t xml:space="preserve">CAN5045</t>
  </si>
  <si>
    <t xml:space="preserve">CINTA ALUMINIO NEGRA 50 x 45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</si>
</sst>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_-* #,##0.00\ [$€-C0A]_-;\-* #,##0.00\ [$€-C0A]_-;_-* \-??\ [$€-C0A]_-;_-@_-"/>
    <numFmt numFmtId="167" formatCode="#,##0.00\ [$€-C0A];\-#,##0.00\ [$€-C0A]"/>
    <numFmt numFmtId="168" formatCode="#,##0_ ;\-#,##0\ "/>
    <numFmt numFmtId="169" formatCode="#,##0.00\ [$€-C0A]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FFC7CE"/>
      </patternFill>
    </fill>
    <fill>
      <patternFill patternType="solid">
        <fgColor rgb="FFED7D31"/>
        <bgColor rgb="FFFF8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85"/>
  <sheetViews>
    <sheetView showFormulas="false" showGridLines="true" showRowColHeaders="true" showZeros="true" rightToLeft="false" tabSelected="true" showOutlineSymbols="true" defaultGridColor="true" view="normal" topLeftCell="A1264" colorId="64" zoomScale="100" zoomScaleNormal="100" zoomScalePageLayoutView="100" workbookViewId="0">
      <selection pane="topLeft" activeCell="C1280" activeCellId="0" sqref="C1280"/>
    </sheetView>
  </sheetViews>
  <sheetFormatPr defaultColWidth="14.4453125" defaultRowHeight="12.8" zeroHeight="true" outlineLevelRow="0" outlineLevelCol="0"/>
  <cols>
    <col collapsed="false" customWidth="true" hidden="false" outlineLevel="0" max="1" min="1" style="1" width="23.03"/>
    <col collapsed="false" customWidth="true" hidden="false" outlineLevel="0" max="2" min="2" style="1" width="25.43"/>
    <col collapsed="false" customWidth="true" hidden="false" outlineLevel="0" max="3" min="3" style="1" width="76.52"/>
    <col collapsed="false" customWidth="true" hidden="false" outlineLevel="0" max="4" min="4" style="1" width="29.56"/>
    <col collapsed="false" customWidth="true" hidden="false" outlineLevel="0" max="6" min="5" style="1" width="23.37"/>
    <col collapsed="false" customWidth="true" hidden="false" outlineLevel="0" max="7" min="7" style="2" width="18.66"/>
    <col collapsed="false" customWidth="true" hidden="false" outlineLevel="0" max="8" min="8" style="3" width="11.68"/>
    <col collapsed="false" customWidth="true" hidden="false" outlineLevel="0" max="9" min="9" style="1" width="15.8"/>
    <col collapsed="false" customWidth="true" hidden="false" outlineLevel="0" max="10" min="10" style="4" width="15.8"/>
    <col collapsed="false" customWidth="true" hidden="false" outlineLevel="0" max="11" min="11" style="1" width="18.56"/>
    <col collapsed="false" customWidth="true" hidden="false" outlineLevel="0" max="12" min="12" style="1" width="22.35"/>
    <col collapsed="false" customWidth="true" hidden="false" outlineLevel="0" max="13" min="13" style="5" width="14.78"/>
    <col collapsed="false" customWidth="false" hidden="false" outlineLevel="0" max="14" min="14" style="5" width="14.43"/>
    <col collapsed="false" customWidth="true" hidden="false" outlineLevel="0" max="15" min="15" style="5" width="19.92"/>
    <col collapsed="false" customWidth="false" hidden="false" outlineLevel="0" max="1024" min="16" style="5" width="14.43"/>
  </cols>
  <sheetData>
    <row r="1" customFormat="false" ht="13.8" hidden="false" customHeight="false" outlineLevel="0" collapsed="false">
      <c r="A1" s="6"/>
      <c r="B1" s="6"/>
      <c r="C1" s="6"/>
      <c r="D1" s="6"/>
      <c r="E1" s="6"/>
      <c r="F1" s="6"/>
      <c r="G1" s="7"/>
      <c r="I1" s="6"/>
      <c r="J1" s="8"/>
      <c r="K1" s="6"/>
      <c r="L1" s="6"/>
    </row>
    <row r="2" customFormat="false" ht="13.8" hidden="false" customHeight="false" outlineLevel="0" collapsed="false">
      <c r="A2" s="6"/>
      <c r="B2" s="6"/>
      <c r="C2" s="6"/>
      <c r="D2" s="6"/>
      <c r="E2" s="6"/>
      <c r="F2" s="6"/>
      <c r="G2" s="7"/>
      <c r="I2" s="6"/>
      <c r="J2" s="8"/>
      <c r="K2" s="6"/>
      <c r="L2" s="6"/>
    </row>
    <row r="3" customFormat="false" ht="13.8" hidden="false" customHeight="false" outlineLevel="0" collapsed="false">
      <c r="A3" s="9" t="s">
        <v>0</v>
      </c>
      <c r="B3" s="10"/>
      <c r="C3" s="11" t="s">
        <v>1</v>
      </c>
      <c r="D3" s="12"/>
      <c r="E3" s="12"/>
      <c r="F3" s="12"/>
      <c r="G3" s="7"/>
      <c r="I3" s="6"/>
      <c r="J3" s="8"/>
      <c r="K3" s="6"/>
      <c r="L3" s="6"/>
    </row>
    <row r="4" customFormat="false" ht="13.8" hidden="false" customHeight="false" outlineLevel="0" collapsed="false">
      <c r="A4" s="13" t="s">
        <v>2</v>
      </c>
      <c r="B4" s="14"/>
      <c r="C4" s="15" t="s">
        <v>3</v>
      </c>
      <c r="D4" s="12"/>
      <c r="E4" s="12"/>
      <c r="F4" s="12"/>
      <c r="G4" s="7"/>
      <c r="I4" s="6"/>
      <c r="J4" s="8"/>
      <c r="K4" s="6"/>
      <c r="L4" s="6"/>
    </row>
    <row r="5" customFormat="false" ht="14.9" hidden="false" customHeight="false" outlineLevel="0" collapsed="false">
      <c r="A5" s="16" t="s">
        <v>4</v>
      </c>
      <c r="B5" s="17"/>
      <c r="C5" s="18" t="s">
        <v>5</v>
      </c>
      <c r="D5" s="12"/>
      <c r="E5" s="12"/>
      <c r="F5" s="12"/>
      <c r="G5" s="7"/>
      <c r="I5" s="6"/>
      <c r="J5" s="8"/>
      <c r="K5" s="6"/>
      <c r="L5" s="6"/>
    </row>
    <row r="6" customFormat="false" ht="13.8" hidden="false" customHeight="false" outlineLevel="0" collapsed="false">
      <c r="A6" s="19" t="s">
        <v>6</v>
      </c>
      <c r="B6" s="20"/>
      <c r="C6" s="21" t="s">
        <v>7</v>
      </c>
      <c r="D6" s="12"/>
      <c r="E6" s="12"/>
      <c r="F6" s="12"/>
      <c r="G6" s="7"/>
      <c r="I6" s="6"/>
      <c r="J6" s="8"/>
      <c r="K6" s="6"/>
      <c r="L6" s="6"/>
    </row>
    <row r="7" customFormat="false" ht="13.8" hidden="false" customHeight="false" outlineLevel="0" collapsed="false">
      <c r="A7" s="19" t="s">
        <v>8</v>
      </c>
      <c r="B7" s="22"/>
      <c r="C7" s="12"/>
      <c r="D7" s="12"/>
      <c r="E7" s="12"/>
      <c r="F7" s="12"/>
      <c r="G7" s="7"/>
      <c r="I7" s="6"/>
      <c r="J7" s="8"/>
      <c r="K7" s="6"/>
      <c r="L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7"/>
      <c r="I8" s="6"/>
      <c r="J8" s="8"/>
      <c r="K8" s="23" t="s">
        <v>9</v>
      </c>
      <c r="L8" s="24" t="n">
        <f aca="false">SUM(L11:L1285)</f>
        <v>0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7"/>
      <c r="I9" s="6"/>
      <c r="J9" s="8"/>
      <c r="K9" s="25"/>
      <c r="L9" s="26"/>
    </row>
    <row r="10" customFormat="false" ht="48.75" hidden="false" customHeight="true" outlineLevel="0" collapsed="false">
      <c r="A10" s="27" t="s">
        <v>10</v>
      </c>
      <c r="B10" s="27" t="s">
        <v>11</v>
      </c>
      <c r="C10" s="27" t="s">
        <v>12</v>
      </c>
      <c r="D10" s="28" t="s">
        <v>13</v>
      </c>
      <c r="E10" s="29" t="s">
        <v>14</v>
      </c>
      <c r="F10" s="30" t="s">
        <v>15</v>
      </c>
      <c r="G10" s="28" t="s">
        <v>16</v>
      </c>
      <c r="H10" s="29" t="s">
        <v>17</v>
      </c>
      <c r="I10" s="28" t="s">
        <v>18</v>
      </c>
      <c r="J10" s="31" t="s">
        <v>19</v>
      </c>
      <c r="K10" s="28" t="s">
        <v>20</v>
      </c>
      <c r="L10" s="28" t="s">
        <v>21</v>
      </c>
    </row>
    <row r="11" customFormat="false" ht="15" hidden="false" customHeight="false" outlineLevel="0" collapsed="false">
      <c r="A11" s="32" t="s">
        <v>22</v>
      </c>
      <c r="B11" s="32" t="s">
        <v>23</v>
      </c>
      <c r="C11" s="32" t="s">
        <v>24</v>
      </c>
      <c r="D11" s="32" t="s">
        <v>25</v>
      </c>
      <c r="E11" s="33" t="n">
        <v>8430942352448</v>
      </c>
      <c r="F11" s="33" t="n">
        <v>6</v>
      </c>
      <c r="G11" s="34" t="n">
        <v>40.2465</v>
      </c>
      <c r="H11" s="33" t="n">
        <v>69</v>
      </c>
      <c r="I11" s="34" t="n">
        <f aca="false">G11*((100-H11)/100)</f>
        <v>12.476415</v>
      </c>
      <c r="J11" s="35"/>
      <c r="K11" s="36" t="n">
        <f aca="false">+F11*J11</f>
        <v>0</v>
      </c>
      <c r="L11" s="37" t="n">
        <f aca="false">I11*K11</f>
        <v>0</v>
      </c>
    </row>
    <row r="12" customFormat="false" ht="15" hidden="false" customHeight="false" outlineLevel="0" collapsed="false">
      <c r="A12" s="32" t="s">
        <v>26</v>
      </c>
      <c r="B12" s="32" t="s">
        <v>23</v>
      </c>
      <c r="C12" s="32" t="s">
        <v>27</v>
      </c>
      <c r="D12" s="32" t="s">
        <v>25</v>
      </c>
      <c r="E12" s="33" t="n">
        <v>8430942048181</v>
      </c>
      <c r="F12" s="33" t="n">
        <v>6</v>
      </c>
      <c r="G12" s="34" t="n">
        <v>43.0815</v>
      </c>
      <c r="H12" s="33" t="n">
        <v>69</v>
      </c>
      <c r="I12" s="34" t="n">
        <f aca="false">G12*((100-H12)/100)</f>
        <v>13.355265</v>
      </c>
      <c r="J12" s="35"/>
      <c r="K12" s="36" t="n">
        <f aca="false">+F12*J12</f>
        <v>0</v>
      </c>
      <c r="L12" s="37" t="n">
        <f aca="false">I12*K12</f>
        <v>0</v>
      </c>
    </row>
    <row r="13" customFormat="false" ht="15" hidden="false" customHeight="false" outlineLevel="0" collapsed="false">
      <c r="A13" s="32" t="s">
        <v>28</v>
      </c>
      <c r="B13" s="32" t="s">
        <v>23</v>
      </c>
      <c r="C13" s="32" t="s">
        <v>29</v>
      </c>
      <c r="D13" s="32" t="s">
        <v>25</v>
      </c>
      <c r="E13" s="33" t="n">
        <v>8430942040710</v>
      </c>
      <c r="F13" s="33" t="n">
        <v>6</v>
      </c>
      <c r="G13" s="34" t="n">
        <v>43.0815</v>
      </c>
      <c r="H13" s="33" t="n">
        <v>69</v>
      </c>
      <c r="I13" s="34" t="n">
        <f aca="false">G13*((100-H13)/100)</f>
        <v>13.355265</v>
      </c>
      <c r="J13" s="35"/>
      <c r="K13" s="36" t="n">
        <f aca="false">+F13*J13</f>
        <v>0</v>
      </c>
      <c r="L13" s="37" t="n">
        <f aca="false">I13*K13</f>
        <v>0</v>
      </c>
    </row>
    <row r="14" customFormat="false" ht="15" hidden="false" customHeight="false" outlineLevel="0" collapsed="false">
      <c r="A14" s="32" t="s">
        <v>30</v>
      </c>
      <c r="B14" s="32" t="s">
        <v>23</v>
      </c>
      <c r="C14" s="32" t="s">
        <v>31</v>
      </c>
      <c r="D14" s="32" t="s">
        <v>25</v>
      </c>
      <c r="E14" s="33" t="n">
        <v>8430942048150</v>
      </c>
      <c r="F14" s="33" t="n">
        <v>6</v>
      </c>
      <c r="G14" s="34" t="n">
        <v>50.505</v>
      </c>
      <c r="H14" s="33" t="n">
        <v>69</v>
      </c>
      <c r="I14" s="34" t="n">
        <f aca="false">G14*((100-H14)/100)</f>
        <v>15.65655</v>
      </c>
      <c r="J14" s="35"/>
      <c r="K14" s="36" t="n">
        <f aca="false">+F14*J14</f>
        <v>0</v>
      </c>
      <c r="L14" s="37" t="n">
        <f aca="false">I14*K14</f>
        <v>0</v>
      </c>
    </row>
    <row r="15" customFormat="false" ht="15" hidden="false" customHeight="false" outlineLevel="0" collapsed="false">
      <c r="A15" s="32" t="s">
        <v>32</v>
      </c>
      <c r="B15" s="32" t="s">
        <v>23</v>
      </c>
      <c r="C15" s="32" t="s">
        <v>33</v>
      </c>
      <c r="D15" s="32" t="s">
        <v>25</v>
      </c>
      <c r="E15" s="33" t="n">
        <v>8430942048259</v>
      </c>
      <c r="F15" s="33" t="n">
        <v>6</v>
      </c>
      <c r="G15" s="34" t="n">
        <v>61.3725</v>
      </c>
      <c r="H15" s="33" t="n">
        <v>69</v>
      </c>
      <c r="I15" s="34" t="n">
        <f aca="false">G15*((100-H15)/100)</f>
        <v>19.025475</v>
      </c>
      <c r="J15" s="35"/>
      <c r="K15" s="36" t="n">
        <f aca="false">+F15*J15</f>
        <v>0</v>
      </c>
      <c r="L15" s="37" t="n">
        <f aca="false">I15*K15</f>
        <v>0</v>
      </c>
    </row>
    <row r="16" customFormat="false" ht="15" hidden="false" customHeight="false" outlineLevel="0" collapsed="false">
      <c r="A16" s="32" t="s">
        <v>34</v>
      </c>
      <c r="B16" s="32" t="s">
        <v>23</v>
      </c>
      <c r="C16" s="32" t="s">
        <v>35</v>
      </c>
      <c r="D16" s="32" t="s">
        <v>25</v>
      </c>
      <c r="E16" s="33" t="n">
        <v>8430942048327</v>
      </c>
      <c r="F16" s="33" t="n">
        <v>4</v>
      </c>
      <c r="G16" s="34" t="n">
        <v>68.04</v>
      </c>
      <c r="H16" s="33" t="n">
        <v>69</v>
      </c>
      <c r="I16" s="34" t="n">
        <f aca="false">G16*((100-H16)/100)</f>
        <v>21.0924</v>
      </c>
      <c r="J16" s="35"/>
      <c r="K16" s="36" t="n">
        <f aca="false">+F16*J16</f>
        <v>0</v>
      </c>
      <c r="L16" s="37" t="n">
        <f aca="false">I16*K16</f>
        <v>0</v>
      </c>
    </row>
    <row r="17" customFormat="false" ht="15" hidden="false" customHeight="false" outlineLevel="0" collapsed="false">
      <c r="A17" s="32" t="s">
        <v>36</v>
      </c>
      <c r="B17" s="32" t="s">
        <v>23</v>
      </c>
      <c r="C17" s="32" t="s">
        <v>37</v>
      </c>
      <c r="D17" s="32" t="s">
        <v>25</v>
      </c>
      <c r="E17" s="33" t="n">
        <v>8430942352479</v>
      </c>
      <c r="F17" s="33" t="n">
        <v>4</v>
      </c>
      <c r="G17" s="34" t="n">
        <v>28.7385</v>
      </c>
      <c r="H17" s="33" t="n">
        <v>69</v>
      </c>
      <c r="I17" s="34" t="n">
        <f aca="false">G17*((100-H17)/100)</f>
        <v>8.908935</v>
      </c>
      <c r="J17" s="35"/>
      <c r="K17" s="36" t="n">
        <f aca="false">+F17*J17</f>
        <v>0</v>
      </c>
      <c r="L17" s="37" t="n">
        <f aca="false">I17*K17</f>
        <v>0</v>
      </c>
    </row>
    <row r="18" customFormat="false" ht="15" hidden="false" customHeight="false" outlineLevel="0" collapsed="false">
      <c r="A18" s="32" t="s">
        <v>38</v>
      </c>
      <c r="B18" s="32" t="s">
        <v>23</v>
      </c>
      <c r="C18" s="32" t="s">
        <v>39</v>
      </c>
      <c r="D18" s="32" t="s">
        <v>25</v>
      </c>
      <c r="E18" s="33" t="n">
        <v>8430942011185</v>
      </c>
      <c r="F18" s="33" t="n">
        <v>4</v>
      </c>
      <c r="G18" s="34" t="n">
        <v>29.925</v>
      </c>
      <c r="H18" s="33" t="n">
        <v>69</v>
      </c>
      <c r="I18" s="34" t="n">
        <f aca="false">G18*((100-H18)/100)</f>
        <v>9.27675</v>
      </c>
      <c r="J18" s="35"/>
      <c r="K18" s="36" t="n">
        <f aca="false">+F18*J18</f>
        <v>0</v>
      </c>
      <c r="L18" s="37" t="n">
        <f aca="false">I18*K18</f>
        <v>0</v>
      </c>
    </row>
    <row r="19" customFormat="false" ht="15" hidden="false" customHeight="false" outlineLevel="0" collapsed="false">
      <c r="A19" s="32" t="s">
        <v>40</v>
      </c>
      <c r="B19" s="32" t="s">
        <v>23</v>
      </c>
      <c r="C19" s="32" t="s">
        <v>41</v>
      </c>
      <c r="D19" s="32" t="s">
        <v>25</v>
      </c>
      <c r="E19" s="33" t="n">
        <v>8430942040680</v>
      </c>
      <c r="F19" s="33" t="n">
        <v>4</v>
      </c>
      <c r="G19" s="34" t="n">
        <v>29.925</v>
      </c>
      <c r="H19" s="33" t="n">
        <v>69</v>
      </c>
      <c r="I19" s="34" t="n">
        <f aca="false">G19*((100-H19)/100)</f>
        <v>9.27675</v>
      </c>
      <c r="J19" s="35"/>
      <c r="K19" s="36" t="n">
        <f aca="false">+F19*J19</f>
        <v>0</v>
      </c>
      <c r="L19" s="37" t="n">
        <f aca="false">I19*K19</f>
        <v>0</v>
      </c>
    </row>
    <row r="20" customFormat="false" ht="15" hidden="false" customHeight="false" outlineLevel="0" collapsed="false">
      <c r="A20" s="32" t="s">
        <v>42</v>
      </c>
      <c r="B20" s="32" t="s">
        <v>23</v>
      </c>
      <c r="C20" s="32" t="s">
        <v>43</v>
      </c>
      <c r="D20" s="32" t="s">
        <v>25</v>
      </c>
      <c r="E20" s="33" t="n">
        <v>8430942029449</v>
      </c>
      <c r="F20" s="33" t="n">
        <v>4</v>
      </c>
      <c r="G20" s="34" t="n">
        <v>33.4425</v>
      </c>
      <c r="H20" s="33" t="n">
        <v>69</v>
      </c>
      <c r="I20" s="34" t="n">
        <f aca="false">G20*((100-H20)/100)</f>
        <v>10.367175</v>
      </c>
      <c r="J20" s="35"/>
      <c r="K20" s="36" t="n">
        <f aca="false">+F20*J20</f>
        <v>0</v>
      </c>
      <c r="L20" s="37" t="n">
        <f aca="false">I20*K20</f>
        <v>0</v>
      </c>
    </row>
    <row r="21" customFormat="false" ht="15" hidden="false" customHeight="false" outlineLevel="0" collapsed="false">
      <c r="A21" s="32" t="s">
        <v>44</v>
      </c>
      <c r="B21" s="32" t="s">
        <v>23</v>
      </c>
      <c r="C21" s="32" t="s">
        <v>45</v>
      </c>
      <c r="D21" s="32" t="s">
        <v>25</v>
      </c>
      <c r="E21" s="33" t="n">
        <v>8430942029425</v>
      </c>
      <c r="F21" s="33" t="n">
        <v>4</v>
      </c>
      <c r="G21" s="34" t="n">
        <v>39.585</v>
      </c>
      <c r="H21" s="33" t="n">
        <v>69</v>
      </c>
      <c r="I21" s="34" t="n">
        <f aca="false">G21*((100-H21)/100)</f>
        <v>12.27135</v>
      </c>
      <c r="J21" s="35"/>
      <c r="K21" s="36" t="n">
        <f aca="false">+F21*J21</f>
        <v>0</v>
      </c>
      <c r="L21" s="37" t="n">
        <f aca="false">I21*K21</f>
        <v>0</v>
      </c>
    </row>
    <row r="22" customFormat="false" ht="15" hidden="false" customHeight="false" outlineLevel="0" collapsed="false">
      <c r="A22" s="32" t="s">
        <v>46</v>
      </c>
      <c r="B22" s="32" t="s">
        <v>23</v>
      </c>
      <c r="C22" s="32" t="s">
        <v>47</v>
      </c>
      <c r="D22" s="32" t="s">
        <v>25</v>
      </c>
      <c r="E22" s="33" t="n">
        <v>8430942034054</v>
      </c>
      <c r="F22" s="33" t="n">
        <v>4</v>
      </c>
      <c r="G22" s="34" t="n">
        <v>45.255</v>
      </c>
      <c r="H22" s="33" t="n">
        <v>69</v>
      </c>
      <c r="I22" s="34" t="n">
        <f aca="false">G22*((100-H22)/100)</f>
        <v>14.02905</v>
      </c>
      <c r="J22" s="35"/>
      <c r="K22" s="36" t="n">
        <f aca="false">+F22*J22</f>
        <v>0</v>
      </c>
      <c r="L22" s="37" t="n">
        <f aca="false">I22*K22</f>
        <v>0</v>
      </c>
    </row>
    <row r="23" customFormat="false" ht="15" hidden="false" customHeight="false" outlineLevel="0" collapsed="false">
      <c r="A23" s="32" t="s">
        <v>48</v>
      </c>
      <c r="B23" s="32" t="s">
        <v>23</v>
      </c>
      <c r="C23" s="32" t="s">
        <v>49</v>
      </c>
      <c r="D23" s="32" t="s">
        <v>25</v>
      </c>
      <c r="E23" s="33" t="n">
        <v>8430942352462</v>
      </c>
      <c r="F23" s="33" t="n">
        <v>4</v>
      </c>
      <c r="G23" s="34" t="n">
        <v>31.92</v>
      </c>
      <c r="H23" s="33" t="n">
        <v>69</v>
      </c>
      <c r="I23" s="34" t="n">
        <f aca="false">G23*((100-H23)/100)</f>
        <v>9.8952</v>
      </c>
      <c r="J23" s="35"/>
      <c r="K23" s="36" t="n">
        <f aca="false">+F23*J23</f>
        <v>0</v>
      </c>
      <c r="L23" s="37" t="n">
        <f aca="false">I23*K23</f>
        <v>0</v>
      </c>
    </row>
    <row r="24" customFormat="false" ht="15" hidden="false" customHeight="false" outlineLevel="0" collapsed="false">
      <c r="A24" s="32" t="s">
        <v>50</v>
      </c>
      <c r="B24" s="32" t="s">
        <v>23</v>
      </c>
      <c r="C24" s="32" t="s">
        <v>51</v>
      </c>
      <c r="D24" s="32" t="s">
        <v>25</v>
      </c>
      <c r="E24" s="33" t="n">
        <v>8430942048204</v>
      </c>
      <c r="F24" s="33" t="n">
        <v>4</v>
      </c>
      <c r="G24" s="34" t="n">
        <v>36.708</v>
      </c>
      <c r="H24" s="33" t="n">
        <v>69</v>
      </c>
      <c r="I24" s="34" t="n">
        <f aca="false">G24*((100-H24)/100)</f>
        <v>11.37948</v>
      </c>
      <c r="J24" s="35"/>
      <c r="K24" s="36" t="n">
        <f aca="false">+F24*J24</f>
        <v>0</v>
      </c>
      <c r="L24" s="37" t="n">
        <f aca="false">I24*K24</f>
        <v>0</v>
      </c>
    </row>
    <row r="25" customFormat="false" ht="15" hidden="false" customHeight="false" outlineLevel="0" collapsed="false">
      <c r="A25" s="32" t="s">
        <v>52</v>
      </c>
      <c r="B25" s="32" t="s">
        <v>23</v>
      </c>
      <c r="C25" s="32" t="s">
        <v>53</v>
      </c>
      <c r="D25" s="32" t="s">
        <v>25</v>
      </c>
      <c r="E25" s="33" t="n">
        <v>8430942040703</v>
      </c>
      <c r="F25" s="33" t="n">
        <v>4</v>
      </c>
      <c r="G25" s="34" t="n">
        <v>36.708</v>
      </c>
      <c r="H25" s="33" t="n">
        <v>69</v>
      </c>
      <c r="I25" s="34" t="n">
        <f aca="false">G25*((100-H25)/100)</f>
        <v>11.37948</v>
      </c>
      <c r="J25" s="35"/>
      <c r="K25" s="36" t="n">
        <f aca="false">+F25*J25</f>
        <v>0</v>
      </c>
      <c r="L25" s="37" t="n">
        <f aca="false">I25*K25</f>
        <v>0</v>
      </c>
    </row>
    <row r="26" customFormat="false" ht="15" hidden="false" customHeight="false" outlineLevel="0" collapsed="false">
      <c r="A26" s="32" t="s">
        <v>54</v>
      </c>
      <c r="B26" s="32" t="s">
        <v>23</v>
      </c>
      <c r="C26" s="32" t="s">
        <v>55</v>
      </c>
      <c r="D26" s="32" t="s">
        <v>25</v>
      </c>
      <c r="E26" s="33" t="n">
        <v>8430942015121</v>
      </c>
      <c r="F26" s="33" t="n">
        <v>4</v>
      </c>
      <c r="G26" s="34" t="n">
        <v>37.38</v>
      </c>
      <c r="H26" s="33" t="n">
        <v>69</v>
      </c>
      <c r="I26" s="34" t="n">
        <f aca="false">G26*((100-H26)/100)</f>
        <v>11.5878</v>
      </c>
      <c r="J26" s="35"/>
      <c r="K26" s="36" t="n">
        <f aca="false">+F26*J26</f>
        <v>0</v>
      </c>
      <c r="L26" s="37" t="n">
        <f aca="false">I26*K26</f>
        <v>0</v>
      </c>
    </row>
    <row r="27" customFormat="false" ht="15" hidden="false" customHeight="false" outlineLevel="0" collapsed="false">
      <c r="A27" s="32" t="s">
        <v>56</v>
      </c>
      <c r="B27" s="32" t="s">
        <v>23</v>
      </c>
      <c r="C27" s="32" t="s">
        <v>57</v>
      </c>
      <c r="D27" s="32" t="s">
        <v>25</v>
      </c>
      <c r="E27" s="33" t="n">
        <v>8430942048273</v>
      </c>
      <c r="F27" s="33" t="n">
        <v>4</v>
      </c>
      <c r="G27" s="34" t="n">
        <v>43.3125</v>
      </c>
      <c r="H27" s="33" t="n">
        <v>69</v>
      </c>
      <c r="I27" s="34" t="n">
        <f aca="false">G27*((100-H27)/100)</f>
        <v>13.426875</v>
      </c>
      <c r="J27" s="35"/>
      <c r="K27" s="36" t="n">
        <f aca="false">+F27*J27</f>
        <v>0</v>
      </c>
      <c r="L27" s="37" t="n">
        <f aca="false">I27*K27</f>
        <v>0</v>
      </c>
    </row>
    <row r="28" customFormat="false" ht="15" hidden="false" customHeight="false" outlineLevel="0" collapsed="false">
      <c r="A28" s="32" t="s">
        <v>58</v>
      </c>
      <c r="B28" s="32" t="s">
        <v>23</v>
      </c>
      <c r="C28" s="32" t="s">
        <v>59</v>
      </c>
      <c r="D28" s="32" t="s">
        <v>25</v>
      </c>
      <c r="E28" s="33" t="n">
        <v>8430942048334</v>
      </c>
      <c r="F28" s="33" t="n">
        <v>1</v>
      </c>
      <c r="G28" s="34" t="n">
        <v>48.4575</v>
      </c>
      <c r="H28" s="33" t="n">
        <v>69</v>
      </c>
      <c r="I28" s="34" t="n">
        <f aca="false">G28*((100-H28)/100)</f>
        <v>15.021825</v>
      </c>
      <c r="J28" s="35"/>
      <c r="K28" s="36" t="n">
        <f aca="false">+F28*J28</f>
        <v>0</v>
      </c>
      <c r="L28" s="37" t="n">
        <f aca="false">I28*K28</f>
        <v>0</v>
      </c>
    </row>
    <row r="29" customFormat="false" ht="15" hidden="false" customHeight="false" outlineLevel="0" collapsed="false">
      <c r="A29" s="32" t="s">
        <v>60</v>
      </c>
      <c r="B29" s="32" t="s">
        <v>23</v>
      </c>
      <c r="C29" s="32" t="s">
        <v>61</v>
      </c>
      <c r="D29" s="32" t="s">
        <v>62</v>
      </c>
      <c r="E29" s="33" t="n">
        <v>8430942352486</v>
      </c>
      <c r="F29" s="33" t="n">
        <v>1</v>
      </c>
      <c r="G29" s="34" t="n">
        <v>61.1205</v>
      </c>
      <c r="H29" s="33" t="n">
        <v>69</v>
      </c>
      <c r="I29" s="34" t="n">
        <f aca="false">G29*((100-H29)/100)</f>
        <v>18.947355</v>
      </c>
      <c r="J29" s="35"/>
      <c r="K29" s="36" t="n">
        <f aca="false">+F29*J29</f>
        <v>0</v>
      </c>
      <c r="L29" s="37" t="n">
        <f aca="false">I29*K29</f>
        <v>0</v>
      </c>
    </row>
    <row r="30" customFormat="false" ht="15" hidden="false" customHeight="false" outlineLevel="0" collapsed="false">
      <c r="A30" s="32" t="s">
        <v>63</v>
      </c>
      <c r="B30" s="32" t="s">
        <v>23</v>
      </c>
      <c r="C30" s="32" t="s">
        <v>64</v>
      </c>
      <c r="D30" s="32" t="s">
        <v>62</v>
      </c>
      <c r="E30" s="33" t="n">
        <v>8430942049003</v>
      </c>
      <c r="F30" s="33" t="n">
        <v>1</v>
      </c>
      <c r="G30" s="34" t="n">
        <v>63.672</v>
      </c>
      <c r="H30" s="33" t="n">
        <v>69</v>
      </c>
      <c r="I30" s="34" t="n">
        <f aca="false">G30*((100-H30)/100)</f>
        <v>19.73832</v>
      </c>
      <c r="J30" s="35"/>
      <c r="K30" s="36" t="n">
        <f aca="false">+F30*J30</f>
        <v>0</v>
      </c>
      <c r="L30" s="37" t="n">
        <f aca="false">I30*K30</f>
        <v>0</v>
      </c>
    </row>
    <row r="31" customFormat="false" ht="15" hidden="false" customHeight="false" outlineLevel="0" collapsed="false">
      <c r="A31" s="32" t="s">
        <v>65</v>
      </c>
      <c r="B31" s="32" t="s">
        <v>23</v>
      </c>
      <c r="C31" s="32" t="s">
        <v>66</v>
      </c>
      <c r="D31" s="32" t="s">
        <v>62</v>
      </c>
      <c r="E31" s="33" t="n">
        <v>8430942049010</v>
      </c>
      <c r="F31" s="33" t="n">
        <v>1</v>
      </c>
      <c r="G31" s="34" t="n">
        <v>63.672</v>
      </c>
      <c r="H31" s="33" t="n">
        <v>69</v>
      </c>
      <c r="I31" s="34" t="n">
        <f aca="false">G31*((100-H31)/100)</f>
        <v>19.73832</v>
      </c>
      <c r="J31" s="35"/>
      <c r="K31" s="36" t="n">
        <f aca="false">+F31*J31</f>
        <v>0</v>
      </c>
      <c r="L31" s="37" t="n">
        <f aca="false">I31*K31</f>
        <v>0</v>
      </c>
    </row>
    <row r="32" customFormat="false" ht="15" hidden="false" customHeight="false" outlineLevel="0" collapsed="false">
      <c r="A32" s="32" t="s">
        <v>67</v>
      </c>
      <c r="B32" s="32" t="s">
        <v>23</v>
      </c>
      <c r="C32" s="32" t="s">
        <v>68</v>
      </c>
      <c r="D32" s="32" t="s">
        <v>62</v>
      </c>
      <c r="E32" s="33" t="n">
        <v>8430942049027</v>
      </c>
      <c r="F32" s="33" t="n">
        <v>4</v>
      </c>
      <c r="G32" s="34" t="n">
        <v>67.9245</v>
      </c>
      <c r="H32" s="33" t="n">
        <v>69</v>
      </c>
      <c r="I32" s="34" t="n">
        <f aca="false">G32*((100-H32)/100)</f>
        <v>21.056595</v>
      </c>
      <c r="J32" s="35"/>
      <c r="K32" s="36" t="n">
        <f aca="false">+F32*J32</f>
        <v>0</v>
      </c>
      <c r="L32" s="37" t="n">
        <f aca="false">I32*K32</f>
        <v>0</v>
      </c>
    </row>
    <row r="33" customFormat="false" ht="15" hidden="false" customHeight="false" outlineLevel="0" collapsed="false">
      <c r="A33" s="32" t="s">
        <v>69</v>
      </c>
      <c r="B33" s="32" t="s">
        <v>23</v>
      </c>
      <c r="C33" s="32" t="s">
        <v>70</v>
      </c>
      <c r="D33" s="32" t="s">
        <v>62</v>
      </c>
      <c r="E33" s="33" t="n">
        <v>8430942049034</v>
      </c>
      <c r="F33" s="33" t="n">
        <v>1</v>
      </c>
      <c r="G33" s="34" t="n">
        <v>76.797</v>
      </c>
      <c r="H33" s="33" t="n">
        <v>69</v>
      </c>
      <c r="I33" s="34" t="n">
        <f aca="false">G33*((100-H33)/100)</f>
        <v>23.80707</v>
      </c>
      <c r="J33" s="35"/>
      <c r="K33" s="36" t="n">
        <f aca="false">+F33*J33</f>
        <v>0</v>
      </c>
      <c r="L33" s="37" t="n">
        <f aca="false">I33*K33</f>
        <v>0</v>
      </c>
    </row>
    <row r="34" customFormat="false" ht="15" hidden="false" customHeight="false" outlineLevel="0" collapsed="false">
      <c r="A34" s="32" t="s">
        <v>71</v>
      </c>
      <c r="B34" s="32" t="s">
        <v>23</v>
      </c>
      <c r="C34" s="32" t="s">
        <v>72</v>
      </c>
      <c r="D34" s="32" t="s">
        <v>62</v>
      </c>
      <c r="E34" s="33" t="n">
        <v>8430942049041</v>
      </c>
      <c r="F34" s="33" t="n">
        <v>4</v>
      </c>
      <c r="G34" s="34" t="n">
        <v>82.8135</v>
      </c>
      <c r="H34" s="33" t="n">
        <v>69</v>
      </c>
      <c r="I34" s="34" t="n">
        <f aca="false">G34*((100-H34)/100)</f>
        <v>25.672185</v>
      </c>
      <c r="J34" s="35"/>
      <c r="K34" s="36" t="n">
        <f aca="false">+F34*J34</f>
        <v>0</v>
      </c>
      <c r="L34" s="37" t="n">
        <f aca="false">I34*K34</f>
        <v>0</v>
      </c>
    </row>
    <row r="35" customFormat="false" ht="15" hidden="false" customHeight="false" outlineLevel="0" collapsed="false">
      <c r="A35" s="32" t="s">
        <v>73</v>
      </c>
      <c r="B35" s="32" t="s">
        <v>23</v>
      </c>
      <c r="C35" s="32" t="s">
        <v>74</v>
      </c>
      <c r="D35" s="32" t="s">
        <v>25</v>
      </c>
      <c r="E35" s="33" t="n">
        <v>8430942366414</v>
      </c>
      <c r="F35" s="33" t="n">
        <v>6</v>
      </c>
      <c r="G35" s="34" t="n">
        <v>67.85</v>
      </c>
      <c r="H35" s="33" t="n">
        <v>69</v>
      </c>
      <c r="I35" s="34" t="n">
        <f aca="false">G35*((100-H35)/100)</f>
        <v>21.0335</v>
      </c>
      <c r="J35" s="35"/>
      <c r="K35" s="36" t="n">
        <f aca="false">+F35*J35</f>
        <v>0</v>
      </c>
      <c r="L35" s="37" t="n">
        <f aca="false">I35*K35</f>
        <v>0</v>
      </c>
    </row>
    <row r="36" customFormat="false" ht="15" hidden="false" customHeight="false" outlineLevel="0" collapsed="false">
      <c r="A36" s="32" t="s">
        <v>75</v>
      </c>
      <c r="B36" s="32" t="s">
        <v>23</v>
      </c>
      <c r="C36" s="32" t="s">
        <v>76</v>
      </c>
      <c r="D36" s="32" t="s">
        <v>25</v>
      </c>
      <c r="E36" s="33" t="n">
        <v>8430942044442</v>
      </c>
      <c r="F36" s="33" t="n">
        <v>6</v>
      </c>
      <c r="G36" s="34" t="n">
        <v>68.95</v>
      </c>
      <c r="H36" s="33" t="n">
        <v>69</v>
      </c>
      <c r="I36" s="34" t="n">
        <f aca="false">G36*((100-H36)/100)</f>
        <v>21.3745</v>
      </c>
      <c r="J36" s="35"/>
      <c r="K36" s="36" t="n">
        <f aca="false">+F36*J36</f>
        <v>0</v>
      </c>
      <c r="L36" s="37" t="n">
        <f aca="false">I36*K36</f>
        <v>0</v>
      </c>
    </row>
    <row r="37" customFormat="false" ht="15" hidden="false" customHeight="false" outlineLevel="0" collapsed="false">
      <c r="A37" s="32" t="s">
        <v>77</v>
      </c>
      <c r="B37" s="32" t="s">
        <v>23</v>
      </c>
      <c r="C37" s="32" t="s">
        <v>78</v>
      </c>
      <c r="D37" s="32" t="s">
        <v>25</v>
      </c>
      <c r="E37" s="33" t="n">
        <v>8430942366421</v>
      </c>
      <c r="F37" s="33" t="n">
        <v>6</v>
      </c>
      <c r="G37" s="34" t="n">
        <v>71.8</v>
      </c>
      <c r="H37" s="33" t="n">
        <v>69</v>
      </c>
      <c r="I37" s="34" t="n">
        <f aca="false">G37*((100-H37)/100)</f>
        <v>22.258</v>
      </c>
      <c r="J37" s="35"/>
      <c r="K37" s="36" t="n">
        <f aca="false">+F37*J37</f>
        <v>0</v>
      </c>
      <c r="L37" s="37" t="n">
        <f aca="false">I37*K37</f>
        <v>0</v>
      </c>
    </row>
    <row r="38" customFormat="false" ht="15" hidden="false" customHeight="false" outlineLevel="0" collapsed="false">
      <c r="A38" s="32" t="s">
        <v>79</v>
      </c>
      <c r="B38" s="32" t="s">
        <v>23</v>
      </c>
      <c r="C38" s="32" t="s">
        <v>80</v>
      </c>
      <c r="D38" s="32" t="s">
        <v>25</v>
      </c>
      <c r="E38" s="33" t="n">
        <v>8430942033590</v>
      </c>
      <c r="F38" s="33" t="n">
        <v>6</v>
      </c>
      <c r="G38" s="34" t="n">
        <v>82.75</v>
      </c>
      <c r="H38" s="33" t="n">
        <v>69</v>
      </c>
      <c r="I38" s="34" t="n">
        <f aca="false">G38*((100-H38)/100)</f>
        <v>25.6525</v>
      </c>
      <c r="J38" s="35"/>
      <c r="K38" s="36" t="n">
        <f aca="false">+F38*J38</f>
        <v>0</v>
      </c>
      <c r="L38" s="37" t="n">
        <f aca="false">I38*K38</f>
        <v>0</v>
      </c>
    </row>
    <row r="39" customFormat="false" ht="15" hidden="false" customHeight="false" outlineLevel="0" collapsed="false">
      <c r="A39" s="32" t="s">
        <v>81</v>
      </c>
      <c r="B39" s="32" t="s">
        <v>23</v>
      </c>
      <c r="C39" s="32" t="s">
        <v>82</v>
      </c>
      <c r="D39" s="32" t="s">
        <v>25</v>
      </c>
      <c r="E39" s="33" t="n">
        <v>8430942366438</v>
      </c>
      <c r="F39" s="33" t="n">
        <v>6</v>
      </c>
      <c r="G39" s="34" t="n">
        <v>99.3</v>
      </c>
      <c r="H39" s="33" t="n">
        <v>69</v>
      </c>
      <c r="I39" s="34" t="n">
        <f aca="false">G39*((100-H39)/100)</f>
        <v>30.783</v>
      </c>
      <c r="J39" s="35"/>
      <c r="K39" s="36" t="n">
        <f aca="false">+F39*J39</f>
        <v>0</v>
      </c>
      <c r="L39" s="37" t="n">
        <f aca="false">I39*K39</f>
        <v>0</v>
      </c>
    </row>
    <row r="40" customFormat="false" ht="15" hidden="false" customHeight="false" outlineLevel="0" collapsed="false">
      <c r="A40" s="32" t="s">
        <v>83</v>
      </c>
      <c r="B40" s="32" t="s">
        <v>23</v>
      </c>
      <c r="C40" s="32" t="s">
        <v>84</v>
      </c>
      <c r="D40" s="32" t="s">
        <v>25</v>
      </c>
      <c r="E40" s="33" t="n">
        <v>8430942366445</v>
      </c>
      <c r="F40" s="33" t="n">
        <v>4</v>
      </c>
      <c r="G40" s="34" t="n">
        <v>110.35</v>
      </c>
      <c r="H40" s="33" t="n">
        <v>69</v>
      </c>
      <c r="I40" s="34" t="n">
        <f aca="false">G40*((100-H40)/100)</f>
        <v>34.2085</v>
      </c>
      <c r="J40" s="35"/>
      <c r="K40" s="36" t="n">
        <f aca="false">+F40*J40</f>
        <v>0</v>
      </c>
      <c r="L40" s="37" t="n">
        <f aca="false">I40*K40</f>
        <v>0</v>
      </c>
    </row>
    <row r="41" customFormat="false" ht="15" hidden="false" customHeight="false" outlineLevel="0" collapsed="false">
      <c r="A41" s="32" t="s">
        <v>85</v>
      </c>
      <c r="B41" s="32" t="s">
        <v>23</v>
      </c>
      <c r="C41" s="32" t="s">
        <v>86</v>
      </c>
      <c r="D41" s="32" t="s">
        <v>87</v>
      </c>
      <c r="E41" s="33" t="n">
        <v>8430942352554</v>
      </c>
      <c r="F41" s="33" t="n">
        <v>1</v>
      </c>
      <c r="G41" s="34" t="n">
        <v>55.1565</v>
      </c>
      <c r="H41" s="33" t="n">
        <v>69</v>
      </c>
      <c r="I41" s="34" t="n">
        <f aca="false">G41*((100-H41)/100)</f>
        <v>17.098515</v>
      </c>
      <c r="J41" s="35"/>
      <c r="K41" s="36" t="n">
        <f aca="false">+F41*J41</f>
        <v>0</v>
      </c>
      <c r="L41" s="37" t="n">
        <f aca="false">I41*K41</f>
        <v>0</v>
      </c>
    </row>
    <row r="42" customFormat="false" ht="15" hidden="false" customHeight="false" outlineLevel="0" collapsed="false">
      <c r="A42" s="32" t="s">
        <v>88</v>
      </c>
      <c r="B42" s="32" t="s">
        <v>23</v>
      </c>
      <c r="C42" s="32" t="s">
        <v>89</v>
      </c>
      <c r="D42" s="32" t="s">
        <v>87</v>
      </c>
      <c r="E42" s="33" t="n">
        <v>8430942048563</v>
      </c>
      <c r="F42" s="33" t="n">
        <v>1</v>
      </c>
      <c r="G42" s="34" t="n">
        <v>57.4665</v>
      </c>
      <c r="H42" s="33" t="n">
        <v>69</v>
      </c>
      <c r="I42" s="34" t="n">
        <f aca="false">G42*((100-H42)/100)</f>
        <v>17.814615</v>
      </c>
      <c r="J42" s="35"/>
      <c r="K42" s="36" t="n">
        <f aca="false">+F42*J42</f>
        <v>0</v>
      </c>
      <c r="L42" s="37" t="n">
        <f aca="false">I42*K42</f>
        <v>0</v>
      </c>
    </row>
    <row r="43" customFormat="false" ht="15" hidden="false" customHeight="false" outlineLevel="0" collapsed="false">
      <c r="A43" s="32" t="s">
        <v>90</v>
      </c>
      <c r="B43" s="32" t="s">
        <v>23</v>
      </c>
      <c r="C43" s="32" t="s">
        <v>91</v>
      </c>
      <c r="D43" s="32" t="s">
        <v>87</v>
      </c>
      <c r="E43" s="33" t="n">
        <v>8430942006389</v>
      </c>
      <c r="F43" s="33" t="n">
        <v>1</v>
      </c>
      <c r="G43" s="34" t="n">
        <v>57.4665</v>
      </c>
      <c r="H43" s="33" t="n">
        <v>69</v>
      </c>
      <c r="I43" s="34" t="n">
        <f aca="false">G43*((100-H43)/100)</f>
        <v>17.814615</v>
      </c>
      <c r="J43" s="35"/>
      <c r="K43" s="36" t="n">
        <f aca="false">+F43*J43</f>
        <v>0</v>
      </c>
      <c r="L43" s="37" t="n">
        <f aca="false">I43*K43</f>
        <v>0</v>
      </c>
    </row>
    <row r="44" customFormat="false" ht="15" hidden="false" customHeight="false" outlineLevel="0" collapsed="false">
      <c r="A44" s="32" t="s">
        <v>92</v>
      </c>
      <c r="B44" s="32" t="s">
        <v>23</v>
      </c>
      <c r="C44" s="32" t="s">
        <v>93</v>
      </c>
      <c r="D44" s="32" t="s">
        <v>87</v>
      </c>
      <c r="E44" s="33" t="n">
        <v>8430942048570</v>
      </c>
      <c r="F44" s="33" t="n">
        <v>1</v>
      </c>
      <c r="G44" s="34" t="n">
        <v>61.593</v>
      </c>
      <c r="H44" s="33" t="n">
        <v>69</v>
      </c>
      <c r="I44" s="34" t="n">
        <f aca="false">G44*((100-H44)/100)</f>
        <v>19.09383</v>
      </c>
      <c r="J44" s="35"/>
      <c r="K44" s="36" t="n">
        <f aca="false">+F44*J44</f>
        <v>0</v>
      </c>
      <c r="L44" s="37" t="n">
        <f aca="false">I44*K44</f>
        <v>0</v>
      </c>
    </row>
    <row r="45" customFormat="false" ht="15" hidden="false" customHeight="false" outlineLevel="0" collapsed="false">
      <c r="A45" s="32" t="s">
        <v>94</v>
      </c>
      <c r="B45" s="32" t="s">
        <v>23</v>
      </c>
      <c r="C45" s="32" t="s">
        <v>95</v>
      </c>
      <c r="D45" s="32" t="s">
        <v>87</v>
      </c>
      <c r="E45" s="33" t="n">
        <v>8430942048594</v>
      </c>
      <c r="F45" s="33" t="n">
        <v>1</v>
      </c>
      <c r="G45" s="34" t="n">
        <v>78.708</v>
      </c>
      <c r="H45" s="33" t="n">
        <v>69</v>
      </c>
      <c r="I45" s="34" t="n">
        <f aca="false">G45*((100-H45)/100)</f>
        <v>24.39948</v>
      </c>
      <c r="J45" s="35"/>
      <c r="K45" s="36" t="n">
        <f aca="false">+F45*J45</f>
        <v>0</v>
      </c>
      <c r="L45" s="37" t="n">
        <f aca="false">I45*K45</f>
        <v>0</v>
      </c>
    </row>
    <row r="46" customFormat="false" ht="15" hidden="false" customHeight="false" outlineLevel="0" collapsed="false">
      <c r="A46" s="32" t="s">
        <v>96</v>
      </c>
      <c r="B46" s="32" t="s">
        <v>23</v>
      </c>
      <c r="C46" s="32" t="s">
        <v>97</v>
      </c>
      <c r="D46" s="32" t="s">
        <v>87</v>
      </c>
      <c r="E46" s="33" t="n">
        <v>8430942048587</v>
      </c>
      <c r="F46" s="33" t="n">
        <v>1</v>
      </c>
      <c r="G46" s="34" t="n">
        <v>78.708</v>
      </c>
      <c r="H46" s="33" t="n">
        <v>69</v>
      </c>
      <c r="I46" s="34" t="n">
        <f aca="false">G46*((100-H46)/100)</f>
        <v>24.39948</v>
      </c>
      <c r="J46" s="35"/>
      <c r="K46" s="36" t="n">
        <f aca="false">+F46*J46</f>
        <v>0</v>
      </c>
      <c r="L46" s="37" t="n">
        <f aca="false">I46*K46</f>
        <v>0</v>
      </c>
    </row>
    <row r="47" customFormat="false" ht="15" hidden="false" customHeight="false" outlineLevel="0" collapsed="false">
      <c r="A47" s="32" t="s">
        <v>98</v>
      </c>
      <c r="B47" s="32" t="s">
        <v>23</v>
      </c>
      <c r="C47" s="32" t="s">
        <v>99</v>
      </c>
      <c r="D47" s="32" t="s">
        <v>100</v>
      </c>
      <c r="E47" s="33" t="n">
        <v>8430942352578</v>
      </c>
      <c r="F47" s="33" t="n">
        <v>6</v>
      </c>
      <c r="G47" s="34" t="n">
        <v>43.3335</v>
      </c>
      <c r="H47" s="33" t="n">
        <v>69</v>
      </c>
      <c r="I47" s="34" t="n">
        <f aca="false">G47*((100-H47)/100)</f>
        <v>13.433385</v>
      </c>
      <c r="J47" s="35"/>
      <c r="K47" s="36" t="n">
        <f aca="false">+F47*J47</f>
        <v>0</v>
      </c>
      <c r="L47" s="37" t="n">
        <f aca="false">I47*K47</f>
        <v>0</v>
      </c>
    </row>
    <row r="48" customFormat="false" ht="15" hidden="false" customHeight="false" outlineLevel="0" collapsed="false">
      <c r="A48" s="32" t="s">
        <v>101</v>
      </c>
      <c r="B48" s="32" t="s">
        <v>23</v>
      </c>
      <c r="C48" s="32" t="s">
        <v>102</v>
      </c>
      <c r="D48" s="32" t="s">
        <v>100</v>
      </c>
      <c r="E48" s="33" t="n">
        <v>8430942328078</v>
      </c>
      <c r="F48" s="33" t="n">
        <v>6</v>
      </c>
      <c r="G48" s="34" t="n">
        <v>45.108</v>
      </c>
      <c r="H48" s="33" t="n">
        <v>69</v>
      </c>
      <c r="I48" s="34" t="n">
        <f aca="false">G48*((100-H48)/100)</f>
        <v>13.98348</v>
      </c>
      <c r="J48" s="35"/>
      <c r="K48" s="36" t="n">
        <f aca="false">+F48*J48</f>
        <v>0</v>
      </c>
      <c r="L48" s="37" t="n">
        <f aca="false">I48*K48</f>
        <v>0</v>
      </c>
    </row>
    <row r="49" customFormat="false" ht="15" hidden="false" customHeight="false" outlineLevel="0" collapsed="false">
      <c r="A49" s="32" t="s">
        <v>103</v>
      </c>
      <c r="B49" s="32" t="s">
        <v>23</v>
      </c>
      <c r="C49" s="32" t="s">
        <v>104</v>
      </c>
      <c r="D49" s="32" t="s">
        <v>100</v>
      </c>
      <c r="E49" s="33" t="n">
        <v>8430942034085</v>
      </c>
      <c r="F49" s="33" t="n">
        <v>5</v>
      </c>
      <c r="G49" s="34" t="n">
        <v>45.108</v>
      </c>
      <c r="H49" s="33" t="n">
        <v>69</v>
      </c>
      <c r="I49" s="34" t="n">
        <f aca="false">G49*((100-H49)/100)</f>
        <v>13.98348</v>
      </c>
      <c r="J49" s="35"/>
      <c r="K49" s="36" t="n">
        <f aca="false">+F49*J49</f>
        <v>0</v>
      </c>
      <c r="L49" s="37" t="n">
        <f aca="false">I49*K49</f>
        <v>0</v>
      </c>
    </row>
    <row r="50" customFormat="false" ht="15" hidden="false" customHeight="false" outlineLevel="0" collapsed="false">
      <c r="A50" s="32" t="s">
        <v>105</v>
      </c>
      <c r="B50" s="32" t="s">
        <v>23</v>
      </c>
      <c r="C50" s="32" t="s">
        <v>106</v>
      </c>
      <c r="D50" s="32" t="s">
        <v>100</v>
      </c>
      <c r="E50" s="33" t="n">
        <v>8430942005115</v>
      </c>
      <c r="F50" s="33" t="n">
        <v>4</v>
      </c>
      <c r="G50" s="34" t="n">
        <v>52.7205</v>
      </c>
      <c r="H50" s="33" t="n">
        <v>69</v>
      </c>
      <c r="I50" s="34" t="n">
        <f aca="false">G50*((100-H50)/100)</f>
        <v>16.343355</v>
      </c>
      <c r="J50" s="35"/>
      <c r="K50" s="36" t="n">
        <f aca="false">+F50*J50</f>
        <v>0</v>
      </c>
      <c r="L50" s="37" t="n">
        <f aca="false">I50*K50</f>
        <v>0</v>
      </c>
    </row>
    <row r="51" customFormat="false" ht="15" hidden="false" customHeight="false" outlineLevel="0" collapsed="false">
      <c r="A51" s="32" t="s">
        <v>107</v>
      </c>
      <c r="B51" s="32" t="s">
        <v>23</v>
      </c>
      <c r="C51" s="32" t="s">
        <v>108</v>
      </c>
      <c r="D51" s="32" t="s">
        <v>100</v>
      </c>
      <c r="E51" s="33" t="n">
        <v>8430942014957</v>
      </c>
      <c r="F51" s="33" t="n">
        <v>1</v>
      </c>
      <c r="G51" s="34" t="n">
        <v>62.685</v>
      </c>
      <c r="H51" s="33" t="n">
        <v>69</v>
      </c>
      <c r="I51" s="34" t="n">
        <f aca="false">G51*((100-H51)/100)</f>
        <v>19.43235</v>
      </c>
      <c r="J51" s="35"/>
      <c r="K51" s="36" t="n">
        <f aca="false">+F51*J51</f>
        <v>0</v>
      </c>
      <c r="L51" s="37" t="n">
        <f aca="false">I51*K51</f>
        <v>0</v>
      </c>
    </row>
    <row r="52" customFormat="false" ht="15" hidden="false" customHeight="false" outlineLevel="0" collapsed="false">
      <c r="A52" s="32" t="s">
        <v>109</v>
      </c>
      <c r="B52" s="32" t="s">
        <v>23</v>
      </c>
      <c r="C52" s="32" t="s">
        <v>110</v>
      </c>
      <c r="D52" s="32" t="s">
        <v>100</v>
      </c>
      <c r="E52" s="33" t="n">
        <v>8430942014971</v>
      </c>
      <c r="F52" s="33" t="n">
        <v>1</v>
      </c>
      <c r="G52" s="34" t="n">
        <v>62.685</v>
      </c>
      <c r="H52" s="33" t="n">
        <v>69</v>
      </c>
      <c r="I52" s="34" t="n">
        <f aca="false">G52*((100-H52)/100)</f>
        <v>19.43235</v>
      </c>
      <c r="J52" s="35"/>
      <c r="K52" s="36" t="n">
        <f aca="false">+F52*J52</f>
        <v>0</v>
      </c>
      <c r="L52" s="37" t="n">
        <f aca="false">I52*K52</f>
        <v>0</v>
      </c>
    </row>
    <row r="53" customFormat="false" ht="15" hidden="false" customHeight="false" outlineLevel="0" collapsed="false">
      <c r="A53" s="32" t="s">
        <v>111</v>
      </c>
      <c r="B53" s="32" t="s">
        <v>23</v>
      </c>
      <c r="C53" s="32" t="s">
        <v>112</v>
      </c>
      <c r="D53" s="32" t="s">
        <v>113</v>
      </c>
      <c r="E53" s="33" t="n">
        <v>8430942352585</v>
      </c>
      <c r="F53" s="33" t="n">
        <v>1</v>
      </c>
      <c r="G53" s="34" t="n">
        <v>51.05</v>
      </c>
      <c r="H53" s="33" t="n">
        <v>69</v>
      </c>
      <c r="I53" s="34" t="n">
        <f aca="false">G53*((100-H53)/100)</f>
        <v>15.8255</v>
      </c>
      <c r="J53" s="35"/>
      <c r="K53" s="36" t="n">
        <f aca="false">+F53*J53</f>
        <v>0</v>
      </c>
      <c r="L53" s="37" t="n">
        <f aca="false">I53*K53</f>
        <v>0</v>
      </c>
    </row>
    <row r="54" customFormat="false" ht="15" hidden="false" customHeight="false" outlineLevel="0" collapsed="false">
      <c r="A54" s="32" t="s">
        <v>114</v>
      </c>
      <c r="B54" s="32" t="s">
        <v>23</v>
      </c>
      <c r="C54" s="32" t="s">
        <v>115</v>
      </c>
      <c r="D54" s="32" t="s">
        <v>113</v>
      </c>
      <c r="E54" s="33" t="n">
        <v>8430942049126</v>
      </c>
      <c r="F54" s="33" t="n">
        <v>1</v>
      </c>
      <c r="G54" s="34" t="n">
        <v>51.35</v>
      </c>
      <c r="H54" s="33" t="n">
        <v>69</v>
      </c>
      <c r="I54" s="34" t="n">
        <f aca="false">G54*((100-H54)/100)</f>
        <v>15.9185</v>
      </c>
      <c r="J54" s="35"/>
      <c r="K54" s="36" t="n">
        <f aca="false">+F54*J54</f>
        <v>0</v>
      </c>
      <c r="L54" s="37" t="n">
        <f aca="false">I54*K54</f>
        <v>0</v>
      </c>
    </row>
    <row r="55" customFormat="false" ht="15" hidden="false" customHeight="false" outlineLevel="0" collapsed="false">
      <c r="A55" s="32" t="s">
        <v>116</v>
      </c>
      <c r="B55" s="32" t="s">
        <v>23</v>
      </c>
      <c r="C55" s="32" t="s">
        <v>117</v>
      </c>
      <c r="D55" s="32" t="s">
        <v>113</v>
      </c>
      <c r="E55" s="33" t="n">
        <v>8430942039172</v>
      </c>
      <c r="F55" s="33" t="n">
        <v>1</v>
      </c>
      <c r="G55" s="34" t="n">
        <v>51.35</v>
      </c>
      <c r="H55" s="33" t="n">
        <v>69</v>
      </c>
      <c r="I55" s="34" t="n">
        <f aca="false">G55*((100-H55)/100)</f>
        <v>15.9185</v>
      </c>
      <c r="J55" s="35"/>
      <c r="K55" s="36" t="n">
        <f aca="false">+F55*J55</f>
        <v>0</v>
      </c>
      <c r="L55" s="37" t="n">
        <f aca="false">I55*K55</f>
        <v>0</v>
      </c>
    </row>
    <row r="56" customFormat="false" ht="15" hidden="false" customHeight="false" outlineLevel="0" collapsed="false">
      <c r="A56" s="32" t="s">
        <v>118</v>
      </c>
      <c r="B56" s="32" t="s">
        <v>23</v>
      </c>
      <c r="C56" s="32" t="s">
        <v>119</v>
      </c>
      <c r="D56" s="32" t="s">
        <v>113</v>
      </c>
      <c r="E56" s="33" t="n">
        <v>8430942327330</v>
      </c>
      <c r="F56" s="33" t="n">
        <v>1</v>
      </c>
      <c r="G56" s="34" t="n">
        <v>65.8</v>
      </c>
      <c r="H56" s="33" t="n">
        <v>69</v>
      </c>
      <c r="I56" s="34" t="n">
        <f aca="false">G56*((100-H56)/100)</f>
        <v>20.398</v>
      </c>
      <c r="J56" s="35"/>
      <c r="K56" s="36" t="n">
        <f aca="false">+F56*J56</f>
        <v>0</v>
      </c>
      <c r="L56" s="37" t="n">
        <f aca="false">I56*K56</f>
        <v>0</v>
      </c>
    </row>
    <row r="57" customFormat="false" ht="15" hidden="false" customHeight="false" outlineLevel="0" collapsed="false">
      <c r="A57" s="32" t="s">
        <v>120</v>
      </c>
      <c r="B57" s="32" t="s">
        <v>23</v>
      </c>
      <c r="C57" s="32" t="s">
        <v>121</v>
      </c>
      <c r="D57" s="32" t="s">
        <v>113</v>
      </c>
      <c r="E57" s="33" t="n">
        <v>8430942039165</v>
      </c>
      <c r="F57" s="33" t="n">
        <v>1</v>
      </c>
      <c r="G57" s="34" t="n">
        <v>64.7</v>
      </c>
      <c r="H57" s="33" t="n">
        <v>69</v>
      </c>
      <c r="I57" s="34" t="n">
        <f aca="false">G57*((100-H57)/100)</f>
        <v>20.057</v>
      </c>
      <c r="J57" s="35"/>
      <c r="K57" s="36" t="n">
        <f aca="false">+F57*J57</f>
        <v>0</v>
      </c>
      <c r="L57" s="37" t="n">
        <f aca="false">I57*K57</f>
        <v>0</v>
      </c>
    </row>
    <row r="58" customFormat="false" ht="15" hidden="false" customHeight="false" outlineLevel="0" collapsed="false">
      <c r="A58" s="32" t="s">
        <v>122</v>
      </c>
      <c r="B58" s="32" t="s">
        <v>23</v>
      </c>
      <c r="C58" s="32" t="s">
        <v>123</v>
      </c>
      <c r="D58" s="32" t="s">
        <v>113</v>
      </c>
      <c r="E58" s="33" t="n">
        <v>8430942304645</v>
      </c>
      <c r="F58" s="33" t="n">
        <v>1</v>
      </c>
      <c r="G58" s="34" t="n">
        <v>65.25</v>
      </c>
      <c r="H58" s="33" t="n">
        <v>69</v>
      </c>
      <c r="I58" s="34" t="n">
        <f aca="false">G58*((100-H58)/100)</f>
        <v>20.2275</v>
      </c>
      <c r="J58" s="35"/>
      <c r="K58" s="36" t="n">
        <f aca="false">+F58*J58</f>
        <v>0</v>
      </c>
      <c r="L58" s="37" t="n">
        <f aca="false">I58*K58</f>
        <v>0</v>
      </c>
    </row>
    <row r="59" customFormat="false" ht="15" hidden="false" customHeight="false" outlineLevel="0" collapsed="false">
      <c r="A59" s="32" t="s">
        <v>124</v>
      </c>
      <c r="B59" s="32" t="s">
        <v>23</v>
      </c>
      <c r="C59" s="32" t="s">
        <v>125</v>
      </c>
      <c r="D59" s="32" t="s">
        <v>126</v>
      </c>
      <c r="E59" s="33" t="n">
        <v>8430942355098</v>
      </c>
      <c r="F59" s="33" t="n">
        <v>4</v>
      </c>
      <c r="G59" s="34" t="n">
        <v>35.1</v>
      </c>
      <c r="H59" s="33" t="n">
        <v>69</v>
      </c>
      <c r="I59" s="34" t="n">
        <f aca="false">G59*((100-H59)/100)</f>
        <v>10.881</v>
      </c>
      <c r="J59" s="35"/>
      <c r="K59" s="36" t="n">
        <f aca="false">+F59*J59</f>
        <v>0</v>
      </c>
      <c r="L59" s="37" t="n">
        <f aca="false">I59*K59</f>
        <v>0</v>
      </c>
    </row>
    <row r="60" customFormat="false" ht="15" hidden="false" customHeight="false" outlineLevel="0" collapsed="false">
      <c r="A60" s="32" t="s">
        <v>127</v>
      </c>
      <c r="B60" s="32" t="s">
        <v>23</v>
      </c>
      <c r="C60" s="32" t="s">
        <v>128</v>
      </c>
      <c r="D60" s="32" t="s">
        <v>126</v>
      </c>
      <c r="E60" s="33" t="n">
        <v>8430942046019</v>
      </c>
      <c r="F60" s="33" t="n">
        <v>4</v>
      </c>
      <c r="G60" s="34" t="n">
        <v>36.58</v>
      </c>
      <c r="H60" s="33" t="n">
        <v>69</v>
      </c>
      <c r="I60" s="34" t="n">
        <f aca="false">G60*((100-H60)/100)</f>
        <v>11.3398</v>
      </c>
      <c r="J60" s="35"/>
      <c r="K60" s="36" t="n">
        <f aca="false">+F60*J60</f>
        <v>0</v>
      </c>
      <c r="L60" s="37" t="n">
        <f aca="false">I60*K60</f>
        <v>0</v>
      </c>
    </row>
    <row r="61" customFormat="false" ht="15" hidden="false" customHeight="false" outlineLevel="0" collapsed="false">
      <c r="A61" s="32" t="s">
        <v>129</v>
      </c>
      <c r="B61" s="32" t="s">
        <v>23</v>
      </c>
      <c r="C61" s="32" t="s">
        <v>130</v>
      </c>
      <c r="D61" s="32" t="s">
        <v>126</v>
      </c>
      <c r="E61" s="33" t="n">
        <v>8430942046521</v>
      </c>
      <c r="F61" s="33" t="n">
        <v>4</v>
      </c>
      <c r="G61" s="34" t="n">
        <v>36.58</v>
      </c>
      <c r="H61" s="33" t="n">
        <v>69</v>
      </c>
      <c r="I61" s="34" t="n">
        <f aca="false">G61*((100-H61)/100)</f>
        <v>11.3398</v>
      </c>
      <c r="J61" s="35"/>
      <c r="K61" s="36" t="n">
        <f aca="false">+F61*J61</f>
        <v>0</v>
      </c>
      <c r="L61" s="37" t="n">
        <f aca="false">I61*K61</f>
        <v>0</v>
      </c>
    </row>
    <row r="62" customFormat="false" ht="15" hidden="false" customHeight="false" outlineLevel="0" collapsed="false">
      <c r="A62" s="32" t="s">
        <v>131</v>
      </c>
      <c r="B62" s="32" t="s">
        <v>23</v>
      </c>
      <c r="C62" s="32" t="s">
        <v>132</v>
      </c>
      <c r="D62" s="32" t="s">
        <v>126</v>
      </c>
      <c r="E62" s="33" t="n">
        <v>8430942327996</v>
      </c>
      <c r="F62" s="33" t="n">
        <v>4</v>
      </c>
      <c r="G62" s="34" t="n">
        <v>41.27</v>
      </c>
      <c r="H62" s="33" t="n">
        <v>69</v>
      </c>
      <c r="I62" s="34" t="n">
        <f aca="false">G62*((100-H62)/100)</f>
        <v>12.7937</v>
      </c>
      <c r="J62" s="35"/>
      <c r="K62" s="36" t="n">
        <f aca="false">+F62*J62</f>
        <v>0</v>
      </c>
      <c r="L62" s="37" t="n">
        <f aca="false">I62*K62</f>
        <v>0</v>
      </c>
    </row>
    <row r="63" customFormat="false" ht="15" hidden="false" customHeight="false" outlineLevel="0" collapsed="false">
      <c r="A63" s="32" t="s">
        <v>133</v>
      </c>
      <c r="B63" s="32" t="s">
        <v>23</v>
      </c>
      <c r="C63" s="32" t="s">
        <v>134</v>
      </c>
      <c r="D63" s="32" t="s">
        <v>126</v>
      </c>
      <c r="E63" s="33" t="n">
        <v>8430942008659</v>
      </c>
      <c r="F63" s="33" t="n">
        <v>2</v>
      </c>
      <c r="G63" s="34" t="n">
        <v>49.11</v>
      </c>
      <c r="H63" s="33" t="n">
        <v>69</v>
      </c>
      <c r="I63" s="34" t="n">
        <f aca="false">G63*((100-H63)/100)</f>
        <v>15.2241</v>
      </c>
      <c r="J63" s="35"/>
      <c r="K63" s="36" t="n">
        <f aca="false">+F63*J63</f>
        <v>0</v>
      </c>
      <c r="L63" s="37" t="n">
        <f aca="false">I63*K63</f>
        <v>0</v>
      </c>
    </row>
    <row r="64" customFormat="false" ht="15" hidden="false" customHeight="false" outlineLevel="0" collapsed="false">
      <c r="A64" s="32" t="s">
        <v>135</v>
      </c>
      <c r="B64" s="32" t="s">
        <v>23</v>
      </c>
      <c r="C64" s="32" t="s">
        <v>136</v>
      </c>
      <c r="D64" s="32" t="s">
        <v>126</v>
      </c>
      <c r="E64" s="33" t="n">
        <v>8430942008598</v>
      </c>
      <c r="F64" s="33" t="n">
        <v>2</v>
      </c>
      <c r="G64" s="34" t="n">
        <v>48.41</v>
      </c>
      <c r="H64" s="33" t="n">
        <v>69</v>
      </c>
      <c r="I64" s="34" t="n">
        <f aca="false">G64*((100-H64)/100)</f>
        <v>15.0071</v>
      </c>
      <c r="J64" s="35"/>
      <c r="K64" s="36" t="n">
        <f aca="false">+F64*J64</f>
        <v>0</v>
      </c>
      <c r="L64" s="37" t="n">
        <f aca="false">I64*K64</f>
        <v>0</v>
      </c>
    </row>
    <row r="65" customFormat="false" ht="15" hidden="false" customHeight="false" outlineLevel="0" collapsed="false">
      <c r="A65" s="32" t="s">
        <v>137</v>
      </c>
      <c r="B65" s="32" t="s">
        <v>23</v>
      </c>
      <c r="C65" s="32" t="s">
        <v>138</v>
      </c>
      <c r="D65" s="32" t="s">
        <v>126</v>
      </c>
      <c r="E65" s="33" t="n">
        <v>8430942352493</v>
      </c>
      <c r="F65" s="33" t="n">
        <v>4</v>
      </c>
      <c r="G65" s="34" t="n">
        <v>35.1015</v>
      </c>
      <c r="H65" s="33" t="n">
        <v>69</v>
      </c>
      <c r="I65" s="34" t="n">
        <f aca="false">G65*((100-H65)/100)</f>
        <v>10.881465</v>
      </c>
      <c r="J65" s="35"/>
      <c r="K65" s="36" t="n">
        <f aca="false">+F65*J65</f>
        <v>0</v>
      </c>
      <c r="L65" s="37" t="n">
        <f aca="false">I65*K65</f>
        <v>0</v>
      </c>
    </row>
    <row r="66" customFormat="false" ht="15" hidden="false" customHeight="false" outlineLevel="0" collapsed="false">
      <c r="A66" s="32" t="s">
        <v>139</v>
      </c>
      <c r="B66" s="32" t="s">
        <v>23</v>
      </c>
      <c r="C66" s="32" t="s">
        <v>140</v>
      </c>
      <c r="D66" s="32" t="s">
        <v>126</v>
      </c>
      <c r="E66" s="33" t="n">
        <v>8430942048211</v>
      </c>
      <c r="F66" s="33" t="n">
        <v>4</v>
      </c>
      <c r="G66" s="34" t="n">
        <v>36.582</v>
      </c>
      <c r="H66" s="33" t="n">
        <v>69</v>
      </c>
      <c r="I66" s="34" t="n">
        <f aca="false">G66*((100-H66)/100)</f>
        <v>11.34042</v>
      </c>
      <c r="J66" s="35"/>
      <c r="K66" s="36" t="n">
        <f aca="false">+F66*J66</f>
        <v>0</v>
      </c>
      <c r="L66" s="37" t="n">
        <f aca="false">I66*K66</f>
        <v>0</v>
      </c>
    </row>
    <row r="67" customFormat="false" ht="15" hidden="false" customHeight="false" outlineLevel="0" collapsed="false">
      <c r="A67" s="32" t="s">
        <v>141</v>
      </c>
      <c r="B67" s="32" t="s">
        <v>23</v>
      </c>
      <c r="C67" s="32" t="s">
        <v>142</v>
      </c>
      <c r="D67" s="32" t="s">
        <v>126</v>
      </c>
      <c r="E67" s="33" t="n">
        <v>8430942038922</v>
      </c>
      <c r="F67" s="33" t="n">
        <v>4</v>
      </c>
      <c r="G67" s="34" t="n">
        <v>36.582</v>
      </c>
      <c r="H67" s="33" t="n">
        <v>69</v>
      </c>
      <c r="I67" s="34" t="n">
        <f aca="false">G67*((100-H67)/100)</f>
        <v>11.34042</v>
      </c>
      <c r="J67" s="35"/>
      <c r="K67" s="36" t="n">
        <f aca="false">+F67*J67</f>
        <v>0</v>
      </c>
      <c r="L67" s="37" t="n">
        <f aca="false">I67*K67</f>
        <v>0</v>
      </c>
    </row>
    <row r="68" customFormat="false" ht="15" hidden="false" customHeight="false" outlineLevel="0" collapsed="false">
      <c r="A68" s="32" t="s">
        <v>143</v>
      </c>
      <c r="B68" s="32" t="s">
        <v>23</v>
      </c>
      <c r="C68" s="32" t="s">
        <v>144</v>
      </c>
      <c r="D68" s="32" t="s">
        <v>126</v>
      </c>
      <c r="E68" s="33" t="n">
        <v>8430942015091</v>
      </c>
      <c r="F68" s="33" t="n">
        <v>4</v>
      </c>
      <c r="G68" s="34" t="n">
        <v>41.265</v>
      </c>
      <c r="H68" s="33" t="n">
        <v>69</v>
      </c>
      <c r="I68" s="34" t="n">
        <f aca="false">G68*((100-H68)/100)</f>
        <v>12.79215</v>
      </c>
      <c r="J68" s="35"/>
      <c r="K68" s="36" t="n">
        <f aca="false">+F68*J68</f>
        <v>0</v>
      </c>
      <c r="L68" s="37" t="n">
        <f aca="false">I68*K68</f>
        <v>0</v>
      </c>
    </row>
    <row r="69" customFormat="false" ht="15" hidden="false" customHeight="false" outlineLevel="0" collapsed="false">
      <c r="A69" s="32" t="s">
        <v>145</v>
      </c>
      <c r="B69" s="32" t="s">
        <v>23</v>
      </c>
      <c r="C69" s="32" t="s">
        <v>146</v>
      </c>
      <c r="D69" s="32" t="s">
        <v>126</v>
      </c>
      <c r="E69" s="33" t="n">
        <v>8430942048280</v>
      </c>
      <c r="F69" s="33" t="n">
        <v>2</v>
      </c>
      <c r="G69" s="34" t="n">
        <v>48.41</v>
      </c>
      <c r="H69" s="33" t="n">
        <v>69</v>
      </c>
      <c r="I69" s="34" t="n">
        <f aca="false">G69*((100-H69)/100)</f>
        <v>15.0071</v>
      </c>
      <c r="J69" s="35"/>
      <c r="K69" s="36" t="n">
        <f aca="false">+F69*J69</f>
        <v>0</v>
      </c>
      <c r="L69" s="37" t="n">
        <f aca="false">I69*K69</f>
        <v>0</v>
      </c>
    </row>
    <row r="70" customFormat="false" ht="15" hidden="false" customHeight="false" outlineLevel="0" collapsed="false">
      <c r="A70" s="32" t="s">
        <v>147</v>
      </c>
      <c r="B70" s="32" t="s">
        <v>23</v>
      </c>
      <c r="C70" s="32" t="s">
        <v>148</v>
      </c>
      <c r="D70" s="32" t="s">
        <v>126</v>
      </c>
      <c r="E70" s="33" t="n">
        <v>8430942048358</v>
      </c>
      <c r="F70" s="33" t="n">
        <v>2</v>
      </c>
      <c r="G70" s="34" t="n">
        <v>49.11</v>
      </c>
      <c r="H70" s="33" t="n">
        <v>69</v>
      </c>
      <c r="I70" s="34" t="n">
        <f aca="false">G70*((100-H70)/100)</f>
        <v>15.2241</v>
      </c>
      <c r="J70" s="35"/>
      <c r="K70" s="36" t="n">
        <f aca="false">+F70*J70</f>
        <v>0</v>
      </c>
      <c r="L70" s="37" t="n">
        <f aca="false">I70*K70</f>
        <v>0</v>
      </c>
    </row>
    <row r="71" customFormat="false" ht="15" hidden="false" customHeight="false" outlineLevel="0" collapsed="false">
      <c r="A71" s="32" t="s">
        <v>149</v>
      </c>
      <c r="B71" s="32" t="s">
        <v>23</v>
      </c>
      <c r="C71" s="32" t="s">
        <v>150</v>
      </c>
      <c r="D71" s="32" t="s">
        <v>126</v>
      </c>
      <c r="E71" s="33" t="n">
        <v>8430942352516</v>
      </c>
      <c r="F71" s="33" t="n">
        <v>4</v>
      </c>
      <c r="G71" s="34" t="n">
        <v>58.212</v>
      </c>
      <c r="H71" s="33" t="n">
        <v>69</v>
      </c>
      <c r="I71" s="34" t="n">
        <f aca="false">G71*((100-H71)/100)</f>
        <v>18.04572</v>
      </c>
      <c r="J71" s="35"/>
      <c r="K71" s="36" t="n">
        <f aca="false">+F71*J71</f>
        <v>0</v>
      </c>
      <c r="L71" s="37" t="n">
        <f aca="false">I71*K71</f>
        <v>0</v>
      </c>
    </row>
    <row r="72" customFormat="false" ht="15" hidden="false" customHeight="false" outlineLevel="0" collapsed="false">
      <c r="A72" s="32" t="s">
        <v>151</v>
      </c>
      <c r="B72" s="32" t="s">
        <v>23</v>
      </c>
      <c r="C72" s="32" t="s">
        <v>152</v>
      </c>
      <c r="D72" s="32" t="s">
        <v>126</v>
      </c>
      <c r="E72" s="33" t="n">
        <v>8430942049133</v>
      </c>
      <c r="F72" s="33" t="n">
        <v>4</v>
      </c>
      <c r="G72" s="34" t="n">
        <v>59.0625</v>
      </c>
      <c r="H72" s="33" t="n">
        <v>69</v>
      </c>
      <c r="I72" s="34" t="n">
        <f aca="false">G72*((100-H72)/100)</f>
        <v>18.309375</v>
      </c>
      <c r="J72" s="35"/>
      <c r="K72" s="36" t="n">
        <f aca="false">+F72*J72</f>
        <v>0</v>
      </c>
      <c r="L72" s="37" t="n">
        <f aca="false">I72*K72</f>
        <v>0</v>
      </c>
    </row>
    <row r="73" customFormat="false" ht="15" hidden="false" customHeight="false" outlineLevel="0" collapsed="false">
      <c r="A73" s="32" t="s">
        <v>153</v>
      </c>
      <c r="B73" s="32" t="s">
        <v>23</v>
      </c>
      <c r="C73" s="32" t="s">
        <v>154</v>
      </c>
      <c r="D73" s="32" t="s">
        <v>126</v>
      </c>
      <c r="E73" s="33" t="n">
        <v>8430942049140</v>
      </c>
      <c r="F73" s="33" t="n">
        <v>4</v>
      </c>
      <c r="G73" s="34" t="n">
        <v>59.0625</v>
      </c>
      <c r="H73" s="33" t="n">
        <v>69</v>
      </c>
      <c r="I73" s="34" t="n">
        <f aca="false">G73*((100-H73)/100)</f>
        <v>18.309375</v>
      </c>
      <c r="J73" s="35"/>
      <c r="K73" s="36" t="n">
        <f aca="false">+F73*J73</f>
        <v>0</v>
      </c>
      <c r="L73" s="37" t="n">
        <f aca="false">I73*K73</f>
        <v>0</v>
      </c>
    </row>
    <row r="74" customFormat="false" ht="15" hidden="false" customHeight="false" outlineLevel="0" collapsed="false">
      <c r="A74" s="32" t="s">
        <v>155</v>
      </c>
      <c r="B74" s="32" t="s">
        <v>23</v>
      </c>
      <c r="C74" s="32" t="s">
        <v>156</v>
      </c>
      <c r="D74" s="32" t="s">
        <v>126</v>
      </c>
      <c r="E74" s="33" t="n">
        <v>8430942049157</v>
      </c>
      <c r="F74" s="33" t="n">
        <v>4</v>
      </c>
      <c r="G74" s="34" t="n">
        <v>72.681</v>
      </c>
      <c r="H74" s="33" t="n">
        <v>69</v>
      </c>
      <c r="I74" s="34" t="n">
        <f aca="false">G74*((100-H74)/100)</f>
        <v>22.53111</v>
      </c>
      <c r="J74" s="35"/>
      <c r="K74" s="36" t="n">
        <f aca="false">+F74*J74</f>
        <v>0</v>
      </c>
      <c r="L74" s="37" t="n">
        <f aca="false">I74*K74</f>
        <v>0</v>
      </c>
    </row>
    <row r="75" customFormat="false" ht="15" hidden="false" customHeight="false" outlineLevel="0" collapsed="false">
      <c r="A75" s="32" t="s">
        <v>157</v>
      </c>
      <c r="B75" s="32" t="s">
        <v>23</v>
      </c>
      <c r="C75" s="32" t="s">
        <v>158</v>
      </c>
      <c r="D75" s="32" t="s">
        <v>126</v>
      </c>
      <c r="E75" s="33" t="n">
        <v>8430942049164</v>
      </c>
      <c r="F75" s="33" t="n">
        <v>1</v>
      </c>
      <c r="G75" s="34" t="n">
        <v>77.364</v>
      </c>
      <c r="H75" s="33" t="n">
        <v>69</v>
      </c>
      <c r="I75" s="34" t="n">
        <f aca="false">G75*((100-H75)/100)</f>
        <v>23.98284</v>
      </c>
      <c r="J75" s="35"/>
      <c r="K75" s="36" t="n">
        <f aca="false">+F75*J75</f>
        <v>0</v>
      </c>
      <c r="L75" s="37" t="n">
        <f aca="false">I75*K75</f>
        <v>0</v>
      </c>
    </row>
    <row r="76" customFormat="false" ht="15" hidden="false" customHeight="false" outlineLevel="0" collapsed="false">
      <c r="A76" s="32" t="s">
        <v>159</v>
      </c>
      <c r="B76" s="32" t="s">
        <v>23</v>
      </c>
      <c r="C76" s="32" t="s">
        <v>160</v>
      </c>
      <c r="D76" s="32" t="s">
        <v>126</v>
      </c>
      <c r="E76" s="33" t="n">
        <v>8430942049171</v>
      </c>
      <c r="F76" s="33" t="n">
        <v>1</v>
      </c>
      <c r="G76" s="34" t="n">
        <v>83.496</v>
      </c>
      <c r="H76" s="33" t="n">
        <v>69</v>
      </c>
      <c r="I76" s="34" t="n">
        <f aca="false">G76*((100-H76)/100)</f>
        <v>25.88376</v>
      </c>
      <c r="J76" s="35"/>
      <c r="K76" s="36" t="n">
        <f aca="false">+F76*J76</f>
        <v>0</v>
      </c>
      <c r="L76" s="37" t="n">
        <f aca="false">I76*K76</f>
        <v>0</v>
      </c>
    </row>
    <row r="77" customFormat="false" ht="15" hidden="false" customHeight="false" outlineLevel="0" collapsed="false">
      <c r="A77" s="32" t="s">
        <v>161</v>
      </c>
      <c r="B77" s="32" t="s">
        <v>23</v>
      </c>
      <c r="C77" s="32" t="s">
        <v>162</v>
      </c>
      <c r="D77" s="32" t="s">
        <v>126</v>
      </c>
      <c r="E77" s="33" t="n">
        <v>8430942352509</v>
      </c>
      <c r="F77" s="33" t="n">
        <v>4</v>
      </c>
      <c r="G77" s="34" t="n">
        <v>40.7925</v>
      </c>
      <c r="H77" s="33" t="n">
        <v>69</v>
      </c>
      <c r="I77" s="34" t="n">
        <f aca="false">G77*((100-H77)/100)</f>
        <v>12.645675</v>
      </c>
      <c r="J77" s="35"/>
      <c r="K77" s="36" t="n">
        <f aca="false">+F77*J77</f>
        <v>0</v>
      </c>
      <c r="L77" s="37" t="n">
        <f aca="false">I77*K77</f>
        <v>0</v>
      </c>
    </row>
    <row r="78" customFormat="false" ht="15" hidden="false" customHeight="false" outlineLevel="0" collapsed="false">
      <c r="A78" s="32" t="s">
        <v>163</v>
      </c>
      <c r="B78" s="32" t="s">
        <v>23</v>
      </c>
      <c r="C78" s="32" t="s">
        <v>164</v>
      </c>
      <c r="D78" s="32" t="s">
        <v>126</v>
      </c>
      <c r="E78" s="33" t="n">
        <v>8430942048228</v>
      </c>
      <c r="F78" s="33" t="n">
        <v>4</v>
      </c>
      <c r="G78" s="34" t="n">
        <v>45.045</v>
      </c>
      <c r="H78" s="33" t="n">
        <v>69</v>
      </c>
      <c r="I78" s="34" t="n">
        <f aca="false">G78*((100-H78)/100)</f>
        <v>13.96395</v>
      </c>
      <c r="J78" s="35"/>
      <c r="K78" s="36" t="n">
        <f aca="false">+F78*J78</f>
        <v>0</v>
      </c>
      <c r="L78" s="37" t="n">
        <f aca="false">I78*K78</f>
        <v>0</v>
      </c>
    </row>
    <row r="79" customFormat="false" ht="15" hidden="false" customHeight="false" outlineLevel="0" collapsed="false">
      <c r="A79" s="32" t="s">
        <v>165</v>
      </c>
      <c r="B79" s="32" t="s">
        <v>23</v>
      </c>
      <c r="C79" s="32" t="s">
        <v>166</v>
      </c>
      <c r="D79" s="32" t="s">
        <v>126</v>
      </c>
      <c r="E79" s="33" t="n">
        <v>8430942046484</v>
      </c>
      <c r="F79" s="33" t="n">
        <v>4</v>
      </c>
      <c r="G79" s="34" t="n">
        <v>45.045</v>
      </c>
      <c r="H79" s="33" t="n">
        <v>69</v>
      </c>
      <c r="I79" s="34" t="n">
        <f aca="false">G79*((100-H79)/100)</f>
        <v>13.96395</v>
      </c>
      <c r="J79" s="35"/>
      <c r="K79" s="36" t="n">
        <f aca="false">+F79*J79</f>
        <v>0</v>
      </c>
      <c r="L79" s="37" t="n">
        <f aca="false">I79*K79</f>
        <v>0</v>
      </c>
    </row>
    <row r="80" customFormat="false" ht="15" hidden="false" customHeight="false" outlineLevel="0" collapsed="false">
      <c r="A80" s="32" t="s">
        <v>167</v>
      </c>
      <c r="B80" s="32" t="s">
        <v>23</v>
      </c>
      <c r="C80" s="32" t="s">
        <v>168</v>
      </c>
      <c r="D80" s="32" t="s">
        <v>126</v>
      </c>
      <c r="E80" s="33" t="n">
        <v>8430942048174</v>
      </c>
      <c r="F80" s="33" t="n">
        <v>4</v>
      </c>
      <c r="G80" s="34" t="n">
        <v>47.5</v>
      </c>
      <c r="H80" s="33" t="n">
        <v>69</v>
      </c>
      <c r="I80" s="34" t="n">
        <f aca="false">G80*((100-H80)/100)</f>
        <v>14.725</v>
      </c>
      <c r="J80" s="35"/>
      <c r="K80" s="36" t="n">
        <f aca="false">+F80*J80</f>
        <v>0</v>
      </c>
      <c r="L80" s="37" t="n">
        <f aca="false">I80*K80</f>
        <v>0</v>
      </c>
    </row>
    <row r="81" customFormat="false" ht="15" hidden="false" customHeight="false" outlineLevel="0" collapsed="false">
      <c r="A81" s="32" t="s">
        <v>169</v>
      </c>
      <c r="B81" s="32" t="s">
        <v>23</v>
      </c>
      <c r="C81" s="32" t="s">
        <v>170</v>
      </c>
      <c r="D81" s="32" t="s">
        <v>126</v>
      </c>
      <c r="E81" s="33" t="n">
        <v>8430942048297</v>
      </c>
      <c r="F81" s="33" t="n">
        <v>2</v>
      </c>
      <c r="G81" s="34" t="n">
        <v>58.044</v>
      </c>
      <c r="H81" s="33" t="n">
        <v>69</v>
      </c>
      <c r="I81" s="34" t="n">
        <f aca="false">G81*((100-H81)/100)</f>
        <v>17.99364</v>
      </c>
      <c r="J81" s="35"/>
      <c r="K81" s="36" t="n">
        <f aca="false">+F81*J81</f>
        <v>0</v>
      </c>
      <c r="L81" s="37" t="n">
        <f aca="false">I81*K81</f>
        <v>0</v>
      </c>
    </row>
    <row r="82" customFormat="false" ht="15" hidden="false" customHeight="false" outlineLevel="0" collapsed="false">
      <c r="A82" s="32" t="s">
        <v>171</v>
      </c>
      <c r="B82" s="32" t="s">
        <v>23</v>
      </c>
      <c r="C82" s="32" t="s">
        <v>172</v>
      </c>
      <c r="D82" s="32" t="s">
        <v>126</v>
      </c>
      <c r="E82" s="33" t="n">
        <v>8430942048365</v>
      </c>
      <c r="F82" s="33" t="n">
        <v>1</v>
      </c>
      <c r="G82" s="34" t="n">
        <v>60.9</v>
      </c>
      <c r="H82" s="33" t="n">
        <v>69</v>
      </c>
      <c r="I82" s="34" t="n">
        <f aca="false">G82*((100-H82)/100)</f>
        <v>18.879</v>
      </c>
      <c r="J82" s="35"/>
      <c r="K82" s="36" t="n">
        <f aca="false">+F82*J82</f>
        <v>0</v>
      </c>
      <c r="L82" s="37" t="n">
        <f aca="false">I82*K82</f>
        <v>0</v>
      </c>
    </row>
    <row r="83" customFormat="false" ht="15" hidden="false" customHeight="false" outlineLevel="0" collapsed="false">
      <c r="A83" s="32" t="s">
        <v>173</v>
      </c>
      <c r="B83" s="32" t="s">
        <v>23</v>
      </c>
      <c r="C83" s="32" t="s">
        <v>174</v>
      </c>
      <c r="D83" s="32" t="s">
        <v>126</v>
      </c>
      <c r="E83" s="33" t="n">
        <v>8430942352523</v>
      </c>
      <c r="F83" s="33" t="n">
        <v>4</v>
      </c>
      <c r="G83" s="34" t="n">
        <v>63.7875</v>
      </c>
      <c r="H83" s="33" t="n">
        <v>69</v>
      </c>
      <c r="I83" s="34" t="n">
        <f aca="false">G83*((100-H83)/100)</f>
        <v>19.774125</v>
      </c>
      <c r="J83" s="35"/>
      <c r="K83" s="36" t="n">
        <f aca="false">+F83*J83</f>
        <v>0</v>
      </c>
      <c r="L83" s="37" t="n">
        <f aca="false">I83*K83</f>
        <v>0</v>
      </c>
    </row>
    <row r="84" customFormat="false" ht="15" hidden="false" customHeight="false" outlineLevel="0" collapsed="false">
      <c r="A84" s="32" t="s">
        <v>175</v>
      </c>
      <c r="B84" s="32" t="s">
        <v>23</v>
      </c>
      <c r="C84" s="32" t="s">
        <v>176</v>
      </c>
      <c r="D84" s="32" t="s">
        <v>126</v>
      </c>
      <c r="E84" s="33" t="n">
        <v>8430942048532</v>
      </c>
      <c r="F84" s="33" t="n">
        <v>4</v>
      </c>
      <c r="G84" s="34" t="n">
        <v>66.4335</v>
      </c>
      <c r="H84" s="33" t="n">
        <v>69</v>
      </c>
      <c r="I84" s="34" t="n">
        <f aca="false">G84*((100-H84)/100)</f>
        <v>20.594385</v>
      </c>
      <c r="J84" s="35"/>
      <c r="K84" s="36" t="n">
        <f aca="false">+F84*J84</f>
        <v>0</v>
      </c>
      <c r="L84" s="37" t="n">
        <f aca="false">I84*K84</f>
        <v>0</v>
      </c>
    </row>
    <row r="85" customFormat="false" ht="15" hidden="false" customHeight="false" outlineLevel="0" collapsed="false">
      <c r="A85" s="32" t="s">
        <v>177</v>
      </c>
      <c r="B85" s="32" t="s">
        <v>23</v>
      </c>
      <c r="C85" s="32" t="s">
        <v>178</v>
      </c>
      <c r="D85" s="32" t="s">
        <v>126</v>
      </c>
      <c r="E85" s="33" t="n">
        <v>8430942011314</v>
      </c>
      <c r="F85" s="33" t="n">
        <v>4</v>
      </c>
      <c r="G85" s="34" t="n">
        <v>66.4335</v>
      </c>
      <c r="H85" s="33" t="n">
        <v>69</v>
      </c>
      <c r="I85" s="34" t="n">
        <f aca="false">G85*((100-H85)/100)</f>
        <v>20.594385</v>
      </c>
      <c r="J85" s="35"/>
      <c r="K85" s="36" t="n">
        <f aca="false">+F85*J85</f>
        <v>0</v>
      </c>
      <c r="L85" s="37" t="n">
        <f aca="false">I85*K85</f>
        <v>0</v>
      </c>
    </row>
    <row r="86" customFormat="false" ht="15" hidden="false" customHeight="false" outlineLevel="0" collapsed="false">
      <c r="A86" s="32" t="s">
        <v>179</v>
      </c>
      <c r="B86" s="32" t="s">
        <v>23</v>
      </c>
      <c r="C86" s="32" t="s">
        <v>180</v>
      </c>
      <c r="D86" s="32" t="s">
        <v>126</v>
      </c>
      <c r="E86" s="33" t="n">
        <v>8430942048549</v>
      </c>
      <c r="F86" s="33" t="n">
        <v>4</v>
      </c>
      <c r="G86" s="34" t="n">
        <v>77.5845</v>
      </c>
      <c r="H86" s="33" t="n">
        <v>69</v>
      </c>
      <c r="I86" s="34" t="n">
        <f aca="false">G86*((100-H86)/100)</f>
        <v>24.051195</v>
      </c>
      <c r="J86" s="35"/>
      <c r="K86" s="36" t="n">
        <f aca="false">+F86*J86</f>
        <v>0</v>
      </c>
      <c r="L86" s="37" t="n">
        <f aca="false">I86*K86</f>
        <v>0</v>
      </c>
    </row>
    <row r="87" customFormat="false" ht="15" hidden="false" customHeight="false" outlineLevel="0" collapsed="false">
      <c r="A87" s="32" t="s">
        <v>181</v>
      </c>
      <c r="B87" s="32" t="s">
        <v>23</v>
      </c>
      <c r="C87" s="32" t="s">
        <v>182</v>
      </c>
      <c r="D87" s="32" t="s">
        <v>126</v>
      </c>
      <c r="E87" s="33" t="n">
        <v>8430942048556</v>
      </c>
      <c r="F87" s="33" t="n">
        <v>2</v>
      </c>
      <c r="G87" s="34" t="n">
        <v>99.7395</v>
      </c>
      <c r="H87" s="33" t="n">
        <v>69</v>
      </c>
      <c r="I87" s="34" t="n">
        <f aca="false">G87*((100-H87)/100)</f>
        <v>30.919245</v>
      </c>
      <c r="J87" s="35"/>
      <c r="K87" s="36" t="n">
        <f aca="false">+F87*J87</f>
        <v>0</v>
      </c>
      <c r="L87" s="37" t="n">
        <f aca="false">I87*K87</f>
        <v>0</v>
      </c>
    </row>
    <row r="88" customFormat="false" ht="15" hidden="false" customHeight="false" outlineLevel="0" collapsed="false">
      <c r="A88" s="32" t="s">
        <v>183</v>
      </c>
      <c r="B88" s="32" t="s">
        <v>23</v>
      </c>
      <c r="C88" s="32" t="s">
        <v>184</v>
      </c>
      <c r="D88" s="32" t="s">
        <v>126</v>
      </c>
      <c r="E88" s="33" t="n">
        <v>8430942048600</v>
      </c>
      <c r="F88" s="33" t="n">
        <v>1</v>
      </c>
      <c r="G88" s="34" t="n">
        <v>102.5115</v>
      </c>
      <c r="H88" s="33" t="n">
        <v>69</v>
      </c>
      <c r="I88" s="34" t="n">
        <f aca="false">G88*((100-H88)/100)</f>
        <v>31.778565</v>
      </c>
      <c r="J88" s="35"/>
      <c r="K88" s="36" t="n">
        <f aca="false">+F88*J88</f>
        <v>0</v>
      </c>
      <c r="L88" s="37" t="n">
        <f aca="false">I88*K88</f>
        <v>0</v>
      </c>
    </row>
    <row r="89" customFormat="false" ht="15" hidden="false" customHeight="false" outlineLevel="0" collapsed="false">
      <c r="A89" s="32" t="s">
        <v>185</v>
      </c>
      <c r="B89" s="32" t="s">
        <v>23</v>
      </c>
      <c r="C89" s="32" t="s">
        <v>186</v>
      </c>
      <c r="D89" s="32" t="s">
        <v>126</v>
      </c>
      <c r="E89" s="33" t="n">
        <v>8430942362003</v>
      </c>
      <c r="F89" s="33" t="n">
        <v>4</v>
      </c>
      <c r="G89" s="34" t="n">
        <v>64.8</v>
      </c>
      <c r="H89" s="33" t="n">
        <v>69</v>
      </c>
      <c r="I89" s="34" t="n">
        <f aca="false">G89*((100-H89)/100)</f>
        <v>20.088</v>
      </c>
      <c r="J89" s="35"/>
      <c r="K89" s="36" t="n">
        <f aca="false">+F89*J89</f>
        <v>0</v>
      </c>
      <c r="L89" s="37" t="n">
        <f aca="false">I89*K89</f>
        <v>0</v>
      </c>
    </row>
    <row r="90" customFormat="false" ht="15" hidden="false" customHeight="false" outlineLevel="0" collapsed="false">
      <c r="A90" s="32" t="s">
        <v>187</v>
      </c>
      <c r="B90" s="32" t="s">
        <v>23</v>
      </c>
      <c r="C90" s="32" t="s">
        <v>188</v>
      </c>
      <c r="D90" s="32" t="s">
        <v>126</v>
      </c>
      <c r="E90" s="33" t="n">
        <v>8430942033859</v>
      </c>
      <c r="F90" s="33" t="n">
        <v>4</v>
      </c>
      <c r="G90" s="34" t="n">
        <v>64.8</v>
      </c>
      <c r="H90" s="33" t="n">
        <v>69</v>
      </c>
      <c r="I90" s="34" t="n">
        <f aca="false">G90*((100-H90)/100)</f>
        <v>20.088</v>
      </c>
      <c r="J90" s="35"/>
      <c r="K90" s="36" t="n">
        <f aca="false">+F90*J90</f>
        <v>0</v>
      </c>
      <c r="L90" s="37" t="n">
        <f aca="false">I90*K90</f>
        <v>0</v>
      </c>
    </row>
    <row r="91" customFormat="false" ht="15" hidden="false" customHeight="false" outlineLevel="0" collapsed="false">
      <c r="A91" s="32" t="s">
        <v>189</v>
      </c>
      <c r="B91" s="32" t="s">
        <v>23</v>
      </c>
      <c r="C91" s="32" t="s">
        <v>190</v>
      </c>
      <c r="D91" s="32" t="s">
        <v>126</v>
      </c>
      <c r="E91" s="33" t="n">
        <v>8430942361990</v>
      </c>
      <c r="F91" s="33" t="n">
        <v>4</v>
      </c>
      <c r="G91" s="34" t="n">
        <v>67.4</v>
      </c>
      <c r="H91" s="33" t="n">
        <v>69</v>
      </c>
      <c r="I91" s="34" t="n">
        <f aca="false">G91*((100-H91)/100)</f>
        <v>20.894</v>
      </c>
      <c r="J91" s="35"/>
      <c r="K91" s="36" t="n">
        <f aca="false">+F91*J91</f>
        <v>0</v>
      </c>
      <c r="L91" s="37" t="n">
        <f aca="false">I91*K91</f>
        <v>0</v>
      </c>
    </row>
    <row r="92" customFormat="false" ht="15" hidden="false" customHeight="false" outlineLevel="0" collapsed="false">
      <c r="A92" s="32" t="s">
        <v>191</v>
      </c>
      <c r="B92" s="32" t="s">
        <v>23</v>
      </c>
      <c r="C92" s="32" t="s">
        <v>192</v>
      </c>
      <c r="D92" s="32" t="s">
        <v>126</v>
      </c>
      <c r="E92" s="33" t="n">
        <v>8430942304683</v>
      </c>
      <c r="F92" s="33" t="n">
        <v>4</v>
      </c>
      <c r="G92" s="34" t="n">
        <v>77.8</v>
      </c>
      <c r="H92" s="33" t="n">
        <v>69</v>
      </c>
      <c r="I92" s="34" t="n">
        <f aca="false">G92*((100-H92)/100)</f>
        <v>24.118</v>
      </c>
      <c r="J92" s="35"/>
      <c r="K92" s="36" t="n">
        <f aca="false">+F92*J92</f>
        <v>0</v>
      </c>
      <c r="L92" s="37" t="n">
        <f aca="false">I92*K92</f>
        <v>0</v>
      </c>
    </row>
    <row r="93" customFormat="false" ht="15" hidden="false" customHeight="false" outlineLevel="0" collapsed="false">
      <c r="A93" s="32" t="s">
        <v>193</v>
      </c>
      <c r="B93" s="32" t="s">
        <v>23</v>
      </c>
      <c r="C93" s="32" t="s">
        <v>194</v>
      </c>
      <c r="D93" s="32" t="s">
        <v>126</v>
      </c>
      <c r="E93" s="33" t="n">
        <v>8430942305901</v>
      </c>
      <c r="F93" s="33" t="n">
        <v>2</v>
      </c>
      <c r="G93" s="34" t="n">
        <v>93.45</v>
      </c>
      <c r="H93" s="33" t="n">
        <v>69</v>
      </c>
      <c r="I93" s="34" t="n">
        <f aca="false">G93*((100-H93)/100)</f>
        <v>28.9695</v>
      </c>
      <c r="J93" s="35"/>
      <c r="K93" s="36" t="n">
        <f aca="false">+F93*J93</f>
        <v>0</v>
      </c>
      <c r="L93" s="37" t="n">
        <f aca="false">I93*K93</f>
        <v>0</v>
      </c>
    </row>
    <row r="94" customFormat="false" ht="15" hidden="false" customHeight="false" outlineLevel="0" collapsed="false">
      <c r="A94" s="32" t="s">
        <v>195</v>
      </c>
      <c r="B94" s="32" t="s">
        <v>23</v>
      </c>
      <c r="C94" s="32" t="s">
        <v>196</v>
      </c>
      <c r="D94" s="32" t="s">
        <v>126</v>
      </c>
      <c r="E94" s="33" t="n">
        <v>8430942031244</v>
      </c>
      <c r="F94" s="33" t="n">
        <v>2</v>
      </c>
      <c r="G94" s="34" t="n">
        <v>103.9</v>
      </c>
      <c r="H94" s="33" t="n">
        <v>69</v>
      </c>
      <c r="I94" s="34" t="n">
        <f aca="false">G94*((100-H94)/100)</f>
        <v>32.209</v>
      </c>
      <c r="J94" s="35"/>
      <c r="K94" s="36" t="n">
        <f aca="false">+F94*J94</f>
        <v>0</v>
      </c>
      <c r="L94" s="37" t="n">
        <f aca="false">I94*K94</f>
        <v>0</v>
      </c>
    </row>
    <row r="95" customFormat="false" ht="15" hidden="false" customHeight="false" outlineLevel="0" collapsed="false">
      <c r="A95" s="32" t="s">
        <v>197</v>
      </c>
      <c r="B95" s="32" t="s">
        <v>23</v>
      </c>
      <c r="C95" s="32" t="s">
        <v>198</v>
      </c>
      <c r="D95" s="32" t="s">
        <v>126</v>
      </c>
      <c r="E95" s="33" t="n">
        <v>8430942366452</v>
      </c>
      <c r="F95" s="33" t="n">
        <v>4</v>
      </c>
      <c r="G95" s="34" t="n">
        <v>74.52</v>
      </c>
      <c r="H95" s="33" t="n">
        <v>69</v>
      </c>
      <c r="I95" s="34" t="n">
        <f aca="false">G95*((100-H95)/100)</f>
        <v>23.1012</v>
      </c>
      <c r="J95" s="35"/>
      <c r="K95" s="36" t="n">
        <f aca="false">+F95*J95</f>
        <v>0</v>
      </c>
      <c r="L95" s="37" t="n">
        <f aca="false">I95*K95</f>
        <v>0</v>
      </c>
    </row>
    <row r="96" customFormat="false" ht="15" hidden="false" customHeight="false" outlineLevel="0" collapsed="false">
      <c r="A96" s="32" t="s">
        <v>199</v>
      </c>
      <c r="B96" s="32" t="s">
        <v>23</v>
      </c>
      <c r="C96" s="32" t="s">
        <v>200</v>
      </c>
      <c r="D96" s="32" t="s">
        <v>126</v>
      </c>
      <c r="E96" s="33" t="n">
        <v>8430942031398</v>
      </c>
      <c r="F96" s="33" t="n">
        <v>4</v>
      </c>
      <c r="G96" s="34" t="n">
        <v>74.52</v>
      </c>
      <c r="H96" s="33" t="n">
        <v>69</v>
      </c>
      <c r="I96" s="34" t="n">
        <f aca="false">G96*((100-H96)/100)</f>
        <v>23.1012</v>
      </c>
      <c r="J96" s="35"/>
      <c r="K96" s="36" t="n">
        <f aca="false">+F96*J96</f>
        <v>0</v>
      </c>
      <c r="L96" s="37" t="n">
        <f aca="false">I96*K96</f>
        <v>0</v>
      </c>
    </row>
    <row r="97" customFormat="false" ht="15" hidden="false" customHeight="false" outlineLevel="0" collapsed="false">
      <c r="A97" s="32" t="s">
        <v>201</v>
      </c>
      <c r="B97" s="32" t="s">
        <v>23</v>
      </c>
      <c r="C97" s="32" t="s">
        <v>202</v>
      </c>
      <c r="D97" s="32" t="s">
        <v>126</v>
      </c>
      <c r="E97" s="33" t="n">
        <v>8430942366469</v>
      </c>
      <c r="F97" s="33" t="n">
        <v>4</v>
      </c>
      <c r="G97" s="34" t="n">
        <v>77.51</v>
      </c>
      <c r="H97" s="33" t="n">
        <v>69</v>
      </c>
      <c r="I97" s="34" t="n">
        <f aca="false">G97*((100-H97)/100)</f>
        <v>24.0281</v>
      </c>
      <c r="J97" s="35"/>
      <c r="K97" s="36" t="n">
        <f aca="false">+F97*J97</f>
        <v>0</v>
      </c>
      <c r="L97" s="37" t="n">
        <f aca="false">I97*K97</f>
        <v>0</v>
      </c>
    </row>
    <row r="98" customFormat="false" ht="15" hidden="false" customHeight="false" outlineLevel="0" collapsed="false">
      <c r="A98" s="32" t="s">
        <v>203</v>
      </c>
      <c r="B98" s="32" t="s">
        <v>23</v>
      </c>
      <c r="C98" s="32" t="s">
        <v>204</v>
      </c>
      <c r="D98" s="32" t="s">
        <v>126</v>
      </c>
      <c r="E98" s="33" t="n">
        <v>8430942031381</v>
      </c>
      <c r="F98" s="33" t="n">
        <v>4</v>
      </c>
      <c r="G98" s="34" t="n">
        <v>89.47</v>
      </c>
      <c r="H98" s="33" t="n">
        <v>69</v>
      </c>
      <c r="I98" s="34" t="n">
        <f aca="false">G98*((100-H98)/100)</f>
        <v>27.7357</v>
      </c>
      <c r="J98" s="35"/>
      <c r="K98" s="36" t="n">
        <f aca="false">+F98*J98</f>
        <v>0</v>
      </c>
      <c r="L98" s="37" t="n">
        <f aca="false">I98*K98</f>
        <v>0</v>
      </c>
    </row>
    <row r="99" customFormat="false" ht="15" hidden="false" customHeight="false" outlineLevel="0" collapsed="false">
      <c r="A99" s="32" t="s">
        <v>205</v>
      </c>
      <c r="B99" s="32" t="s">
        <v>23</v>
      </c>
      <c r="C99" s="32" t="s">
        <v>206</v>
      </c>
      <c r="D99" s="32" t="s">
        <v>126</v>
      </c>
      <c r="E99" s="33" t="n">
        <v>8430942366476</v>
      </c>
      <c r="F99" s="33" t="n">
        <v>2</v>
      </c>
      <c r="G99" s="34" t="n">
        <v>107.47</v>
      </c>
      <c r="H99" s="33" t="n">
        <v>69</v>
      </c>
      <c r="I99" s="34" t="n">
        <f aca="false">G99*((100-H99)/100)</f>
        <v>33.3157</v>
      </c>
      <c r="J99" s="35"/>
      <c r="K99" s="36" t="n">
        <f aca="false">+F99*J99</f>
        <v>0</v>
      </c>
      <c r="L99" s="37" t="n">
        <f aca="false">I99*K99</f>
        <v>0</v>
      </c>
    </row>
    <row r="100" customFormat="false" ht="15" hidden="false" customHeight="false" outlineLevel="0" collapsed="false">
      <c r="A100" s="32" t="s">
        <v>207</v>
      </c>
      <c r="B100" s="32" t="s">
        <v>23</v>
      </c>
      <c r="C100" s="32" t="s">
        <v>208</v>
      </c>
      <c r="D100" s="32" t="s">
        <v>126</v>
      </c>
      <c r="E100" s="33" t="n">
        <v>8430942366483</v>
      </c>
      <c r="F100" s="33" t="n">
        <v>2</v>
      </c>
      <c r="G100" s="34" t="n">
        <v>119.49</v>
      </c>
      <c r="H100" s="33" t="n">
        <v>69</v>
      </c>
      <c r="I100" s="34" t="n">
        <f aca="false">G100*((100-H100)/100)</f>
        <v>37.0419</v>
      </c>
      <c r="J100" s="35"/>
      <c r="K100" s="36" t="n">
        <f aca="false">+F100*J100</f>
        <v>0</v>
      </c>
      <c r="L100" s="37" t="n">
        <f aca="false">I100*K100</f>
        <v>0</v>
      </c>
    </row>
    <row r="101" customFormat="false" ht="15" hidden="false" customHeight="false" outlineLevel="0" collapsed="false">
      <c r="A101" s="32" t="s">
        <v>209</v>
      </c>
      <c r="B101" s="32" t="s">
        <v>23</v>
      </c>
      <c r="C101" s="32" t="s">
        <v>210</v>
      </c>
      <c r="D101" s="32" t="s">
        <v>211</v>
      </c>
      <c r="E101" s="33" t="n">
        <v>8430942352530</v>
      </c>
      <c r="F101" s="33" t="n">
        <v>3</v>
      </c>
      <c r="G101" s="34" t="n">
        <v>62.496</v>
      </c>
      <c r="H101" s="33" t="n">
        <v>69</v>
      </c>
      <c r="I101" s="34" t="n">
        <f aca="false">G101*((100-H101)/100)</f>
        <v>19.37376</v>
      </c>
      <c r="J101" s="35"/>
      <c r="K101" s="36" t="n">
        <f aca="false">+F101*J101</f>
        <v>0</v>
      </c>
      <c r="L101" s="37" t="n">
        <f aca="false">I101*K101</f>
        <v>0</v>
      </c>
    </row>
    <row r="102" customFormat="false" ht="15" hidden="false" customHeight="false" outlineLevel="0" collapsed="false">
      <c r="A102" s="32" t="s">
        <v>212</v>
      </c>
      <c r="B102" s="32" t="s">
        <v>23</v>
      </c>
      <c r="C102" s="32" t="s">
        <v>213</v>
      </c>
      <c r="D102" s="32" t="s">
        <v>211</v>
      </c>
      <c r="E102" s="33" t="n">
        <v>8430942048235</v>
      </c>
      <c r="F102" s="33" t="n">
        <v>4</v>
      </c>
      <c r="G102" s="34" t="n">
        <v>65.0895</v>
      </c>
      <c r="H102" s="33" t="n">
        <v>69</v>
      </c>
      <c r="I102" s="34" t="n">
        <f aca="false">G102*((100-H102)/100)</f>
        <v>20.177745</v>
      </c>
      <c r="J102" s="35"/>
      <c r="K102" s="36" t="n">
        <f aca="false">+F102*J102</f>
        <v>0</v>
      </c>
      <c r="L102" s="37" t="n">
        <f aca="false">I102*K102</f>
        <v>0</v>
      </c>
    </row>
    <row r="103" customFormat="false" ht="15" hidden="false" customHeight="false" outlineLevel="0" collapsed="false">
      <c r="A103" s="32" t="s">
        <v>214</v>
      </c>
      <c r="B103" s="32" t="s">
        <v>23</v>
      </c>
      <c r="C103" s="32" t="s">
        <v>215</v>
      </c>
      <c r="D103" s="32" t="s">
        <v>211</v>
      </c>
      <c r="E103" s="33" t="n">
        <v>8430942029166</v>
      </c>
      <c r="F103" s="33" t="n">
        <v>6</v>
      </c>
      <c r="G103" s="34" t="n">
        <v>65.0895</v>
      </c>
      <c r="H103" s="33" t="n">
        <v>69</v>
      </c>
      <c r="I103" s="34" t="n">
        <f aca="false">G103*((100-H103)/100)</f>
        <v>20.177745</v>
      </c>
      <c r="J103" s="35"/>
      <c r="K103" s="36" t="n">
        <f aca="false">+F103*J103</f>
        <v>0</v>
      </c>
      <c r="L103" s="37" t="n">
        <f aca="false">I103*K103</f>
        <v>0</v>
      </c>
    </row>
    <row r="104" customFormat="false" ht="15" hidden="false" customHeight="false" outlineLevel="0" collapsed="false">
      <c r="A104" s="32" t="s">
        <v>216</v>
      </c>
      <c r="B104" s="32" t="s">
        <v>23</v>
      </c>
      <c r="C104" s="32" t="s">
        <v>217</v>
      </c>
      <c r="D104" s="32" t="s">
        <v>211</v>
      </c>
      <c r="E104" s="33" t="n">
        <v>8430942029937</v>
      </c>
      <c r="F104" s="33" t="n">
        <v>2</v>
      </c>
      <c r="G104" s="34" t="n">
        <v>69.5415</v>
      </c>
      <c r="H104" s="33" t="n">
        <v>69</v>
      </c>
      <c r="I104" s="34" t="n">
        <f aca="false">G104*((100-H104)/100)</f>
        <v>21.557865</v>
      </c>
      <c r="J104" s="35"/>
      <c r="K104" s="36" t="n">
        <f aca="false">+F104*J104</f>
        <v>0</v>
      </c>
      <c r="L104" s="37" t="n">
        <f aca="false">I104*K104</f>
        <v>0</v>
      </c>
    </row>
    <row r="105" customFormat="false" ht="15" hidden="false" customHeight="false" outlineLevel="0" collapsed="false">
      <c r="A105" s="32" t="s">
        <v>218</v>
      </c>
      <c r="B105" s="32" t="s">
        <v>23</v>
      </c>
      <c r="C105" s="32" t="s">
        <v>219</v>
      </c>
      <c r="D105" s="32" t="s">
        <v>211</v>
      </c>
      <c r="E105" s="33" t="n">
        <v>8430942048303</v>
      </c>
      <c r="F105" s="33" t="n">
        <v>2</v>
      </c>
      <c r="G105" s="34" t="n">
        <v>84.1575</v>
      </c>
      <c r="H105" s="33" t="n">
        <v>69</v>
      </c>
      <c r="I105" s="34" t="n">
        <f aca="false">G105*((100-H105)/100)</f>
        <v>26.088825</v>
      </c>
      <c r="J105" s="35"/>
      <c r="K105" s="36" t="n">
        <f aca="false">+F105*J105</f>
        <v>0</v>
      </c>
      <c r="L105" s="37" t="n">
        <f aca="false">I105*K105</f>
        <v>0</v>
      </c>
    </row>
    <row r="106" customFormat="false" ht="15" hidden="false" customHeight="false" outlineLevel="0" collapsed="false">
      <c r="A106" s="32" t="s">
        <v>220</v>
      </c>
      <c r="B106" s="32" t="s">
        <v>23</v>
      </c>
      <c r="C106" s="32" t="s">
        <v>221</v>
      </c>
      <c r="D106" s="32" t="s">
        <v>211</v>
      </c>
      <c r="E106" s="33" t="n">
        <v>8430942048372</v>
      </c>
      <c r="F106" s="33" t="n">
        <v>2</v>
      </c>
      <c r="G106" s="34" t="n">
        <v>92.379</v>
      </c>
      <c r="H106" s="33" t="n">
        <v>69</v>
      </c>
      <c r="I106" s="34" t="n">
        <f aca="false">G106*((100-H106)/100)</f>
        <v>28.63749</v>
      </c>
      <c r="J106" s="35"/>
      <c r="K106" s="36" t="n">
        <f aca="false">+F106*J106</f>
        <v>0</v>
      </c>
      <c r="L106" s="37" t="n">
        <f aca="false">I106*K106</f>
        <v>0</v>
      </c>
    </row>
    <row r="107" customFormat="false" ht="15" hidden="false" customHeight="false" outlineLevel="0" collapsed="false">
      <c r="A107" s="32" t="s">
        <v>222</v>
      </c>
      <c r="B107" s="32" t="s">
        <v>23</v>
      </c>
      <c r="C107" s="32" t="s">
        <v>223</v>
      </c>
      <c r="D107" s="32" t="s">
        <v>224</v>
      </c>
      <c r="E107" s="33" t="n">
        <v>8430942352547</v>
      </c>
      <c r="F107" s="33" t="n">
        <v>1</v>
      </c>
      <c r="G107" s="34" t="n">
        <v>36.9285</v>
      </c>
      <c r="H107" s="33" t="n">
        <v>69</v>
      </c>
      <c r="I107" s="34" t="n">
        <f aca="false">G107*((100-H107)/100)</f>
        <v>11.447835</v>
      </c>
      <c r="J107" s="35"/>
      <c r="K107" s="36" t="n">
        <f aca="false">+F107*J107</f>
        <v>0</v>
      </c>
      <c r="L107" s="37" t="n">
        <f aca="false">I107*K107</f>
        <v>0</v>
      </c>
    </row>
    <row r="108" customFormat="false" ht="15" hidden="false" customHeight="false" outlineLevel="0" collapsed="false">
      <c r="A108" s="32" t="s">
        <v>225</v>
      </c>
      <c r="B108" s="32" t="s">
        <v>23</v>
      </c>
      <c r="C108" s="32" t="s">
        <v>226</v>
      </c>
      <c r="D108" s="32" t="s">
        <v>224</v>
      </c>
      <c r="E108" s="33" t="n">
        <v>8430942048242</v>
      </c>
      <c r="F108" s="33" t="n">
        <v>1</v>
      </c>
      <c r="G108" s="34" t="n">
        <v>38.4615</v>
      </c>
      <c r="H108" s="33" t="n">
        <v>69</v>
      </c>
      <c r="I108" s="34" t="n">
        <f aca="false">G108*((100-H108)/100)</f>
        <v>11.923065</v>
      </c>
      <c r="J108" s="35"/>
      <c r="K108" s="36" t="n">
        <f aca="false">+F108*J108</f>
        <v>0</v>
      </c>
      <c r="L108" s="37" t="n">
        <f aca="false">I108*K108</f>
        <v>0</v>
      </c>
    </row>
    <row r="109" customFormat="false" ht="15" hidden="false" customHeight="false" outlineLevel="0" collapsed="false">
      <c r="A109" s="32" t="s">
        <v>227</v>
      </c>
      <c r="B109" s="32" t="s">
        <v>23</v>
      </c>
      <c r="C109" s="32" t="s">
        <v>228</v>
      </c>
      <c r="D109" s="32" t="s">
        <v>224</v>
      </c>
      <c r="E109" s="33" t="n">
        <v>8430942008697</v>
      </c>
      <c r="F109" s="33" t="n">
        <v>1</v>
      </c>
      <c r="G109" s="34" t="n">
        <v>38.4615</v>
      </c>
      <c r="H109" s="33" t="n">
        <v>69</v>
      </c>
      <c r="I109" s="34" t="n">
        <f aca="false">G109*((100-H109)/100)</f>
        <v>11.923065</v>
      </c>
      <c r="J109" s="35"/>
      <c r="K109" s="36" t="n">
        <f aca="false">+F109*J109</f>
        <v>0</v>
      </c>
      <c r="L109" s="37" t="n">
        <f aca="false">I109*K109</f>
        <v>0</v>
      </c>
    </row>
    <row r="110" customFormat="false" ht="15" hidden="false" customHeight="false" outlineLevel="0" collapsed="false">
      <c r="A110" s="32" t="s">
        <v>229</v>
      </c>
      <c r="B110" s="32" t="s">
        <v>23</v>
      </c>
      <c r="C110" s="32" t="s">
        <v>230</v>
      </c>
      <c r="D110" s="32" t="s">
        <v>224</v>
      </c>
      <c r="E110" s="33" t="n">
        <v>8430942029920</v>
      </c>
      <c r="F110" s="33" t="n">
        <v>1</v>
      </c>
      <c r="G110" s="34" t="n">
        <v>41.1495</v>
      </c>
      <c r="H110" s="33" t="n">
        <v>69</v>
      </c>
      <c r="I110" s="34" t="n">
        <f aca="false">G110*((100-H110)/100)</f>
        <v>12.756345</v>
      </c>
      <c r="J110" s="35"/>
      <c r="K110" s="36" t="n">
        <f aca="false">+F110*J110</f>
        <v>0</v>
      </c>
      <c r="L110" s="37" t="n">
        <f aca="false">I110*K110</f>
        <v>0</v>
      </c>
    </row>
    <row r="111" customFormat="false" ht="15" hidden="false" customHeight="false" outlineLevel="0" collapsed="false">
      <c r="A111" s="32" t="s">
        <v>231</v>
      </c>
      <c r="B111" s="32" t="s">
        <v>23</v>
      </c>
      <c r="C111" s="32" t="s">
        <v>232</v>
      </c>
      <c r="D111" s="32" t="s">
        <v>224</v>
      </c>
      <c r="E111" s="33" t="n">
        <v>8430942048310</v>
      </c>
      <c r="F111" s="33" t="n">
        <v>1</v>
      </c>
      <c r="G111" s="34" t="n">
        <v>52.7205</v>
      </c>
      <c r="H111" s="33" t="n">
        <v>69</v>
      </c>
      <c r="I111" s="34" t="n">
        <f aca="false">G111*((100-H111)/100)</f>
        <v>16.343355</v>
      </c>
      <c r="J111" s="35"/>
      <c r="K111" s="36" t="n">
        <f aca="false">+F111*J111</f>
        <v>0</v>
      </c>
      <c r="L111" s="37" t="n">
        <f aca="false">I111*K111</f>
        <v>0</v>
      </c>
    </row>
    <row r="112" customFormat="false" ht="15" hidden="false" customHeight="false" outlineLevel="0" collapsed="false">
      <c r="A112" s="32" t="s">
        <v>233</v>
      </c>
      <c r="B112" s="32" t="s">
        <v>23</v>
      </c>
      <c r="C112" s="32" t="s">
        <v>234</v>
      </c>
      <c r="D112" s="32" t="s">
        <v>224</v>
      </c>
      <c r="E112" s="33" t="n">
        <v>8430942048389</v>
      </c>
      <c r="F112" s="33" t="n">
        <v>1</v>
      </c>
      <c r="G112" s="34" t="n">
        <v>54.0645</v>
      </c>
      <c r="H112" s="33" t="n">
        <v>69</v>
      </c>
      <c r="I112" s="34" t="n">
        <f aca="false">G112*((100-H112)/100)</f>
        <v>16.759995</v>
      </c>
      <c r="J112" s="35"/>
      <c r="K112" s="36" t="n">
        <f aca="false">+F112*J112</f>
        <v>0</v>
      </c>
      <c r="L112" s="37" t="n">
        <f aca="false">I112*K112</f>
        <v>0</v>
      </c>
    </row>
    <row r="113" customFormat="false" ht="15" hidden="false" customHeight="false" outlineLevel="0" collapsed="false">
      <c r="A113" s="32" t="s">
        <v>235</v>
      </c>
      <c r="B113" s="32" t="s">
        <v>23</v>
      </c>
      <c r="C113" s="32" t="s">
        <v>236</v>
      </c>
      <c r="D113" s="32" t="s">
        <v>237</v>
      </c>
      <c r="E113" s="33" t="n">
        <v>8430942354275</v>
      </c>
      <c r="F113" s="33" t="n">
        <v>1</v>
      </c>
      <c r="G113" s="34" t="n">
        <v>222.9</v>
      </c>
      <c r="H113" s="33" t="n">
        <v>69</v>
      </c>
      <c r="I113" s="34" t="n">
        <f aca="false">G113*((100-H113)/100)</f>
        <v>69.099</v>
      </c>
      <c r="J113" s="35"/>
      <c r="K113" s="36" t="n">
        <f aca="false">+F113*J113</f>
        <v>0</v>
      </c>
      <c r="L113" s="37" t="n">
        <f aca="false">I113*K113</f>
        <v>0</v>
      </c>
    </row>
    <row r="114" customFormat="false" ht="15" hidden="false" customHeight="false" outlineLevel="0" collapsed="false">
      <c r="A114" s="32" t="s">
        <v>238</v>
      </c>
      <c r="B114" s="32" t="s">
        <v>23</v>
      </c>
      <c r="C114" s="32" t="s">
        <v>239</v>
      </c>
      <c r="D114" s="32" t="s">
        <v>240</v>
      </c>
      <c r="E114" s="33" t="n">
        <v>8430942352622</v>
      </c>
      <c r="F114" s="33" t="n">
        <v>1</v>
      </c>
      <c r="G114" s="34" t="n">
        <v>27.972</v>
      </c>
      <c r="H114" s="33" t="n">
        <v>69</v>
      </c>
      <c r="I114" s="34" t="n">
        <f aca="false">G114*((100-H114)/100)</f>
        <v>8.67132</v>
      </c>
      <c r="J114" s="35"/>
      <c r="K114" s="36" t="n">
        <f aca="false">+F114*J114</f>
        <v>0</v>
      </c>
      <c r="L114" s="37" t="n">
        <f aca="false">I114*K114</f>
        <v>0</v>
      </c>
    </row>
    <row r="115" customFormat="false" ht="15" hidden="false" customHeight="false" outlineLevel="0" collapsed="false">
      <c r="A115" s="32" t="s">
        <v>241</v>
      </c>
      <c r="B115" s="32" t="s">
        <v>23</v>
      </c>
      <c r="C115" s="32" t="s">
        <v>242</v>
      </c>
      <c r="D115" s="32" t="s">
        <v>240</v>
      </c>
      <c r="E115" s="33" t="n">
        <v>8430942326999</v>
      </c>
      <c r="F115" s="33" t="n">
        <v>1</v>
      </c>
      <c r="G115" s="34" t="n">
        <v>27.972</v>
      </c>
      <c r="H115" s="33" t="n">
        <v>69</v>
      </c>
      <c r="I115" s="34" t="n">
        <f aca="false">G115*((100-H115)/100)</f>
        <v>8.67132</v>
      </c>
      <c r="J115" s="35"/>
      <c r="K115" s="36" t="n">
        <f aca="false">+F115*J115</f>
        <v>0</v>
      </c>
      <c r="L115" s="37" t="n">
        <f aca="false">I115*K115</f>
        <v>0</v>
      </c>
    </row>
    <row r="116" customFormat="false" ht="15" hidden="false" customHeight="false" outlineLevel="0" collapsed="false">
      <c r="A116" s="32" t="s">
        <v>243</v>
      </c>
      <c r="B116" s="32" t="s">
        <v>23</v>
      </c>
      <c r="C116" s="32" t="s">
        <v>244</v>
      </c>
      <c r="D116" s="32" t="s">
        <v>240</v>
      </c>
      <c r="E116" s="33" t="n">
        <v>8430942327002</v>
      </c>
      <c r="F116" s="33" t="n">
        <v>1</v>
      </c>
      <c r="G116" s="34" t="n">
        <v>27.972</v>
      </c>
      <c r="H116" s="33" t="n">
        <v>69</v>
      </c>
      <c r="I116" s="34" t="n">
        <f aca="false">G116*((100-H116)/100)</f>
        <v>8.67132</v>
      </c>
      <c r="J116" s="35"/>
      <c r="K116" s="36" t="n">
        <f aca="false">+F116*J116</f>
        <v>0</v>
      </c>
      <c r="L116" s="37" t="n">
        <f aca="false">I116*K116</f>
        <v>0</v>
      </c>
    </row>
    <row r="117" customFormat="false" ht="15" hidden="false" customHeight="false" outlineLevel="0" collapsed="false">
      <c r="A117" s="32" t="s">
        <v>245</v>
      </c>
      <c r="B117" s="32" t="s">
        <v>23</v>
      </c>
      <c r="C117" s="32" t="s">
        <v>246</v>
      </c>
      <c r="D117" s="32" t="s">
        <v>240</v>
      </c>
      <c r="E117" s="33" t="n">
        <v>8430942327019</v>
      </c>
      <c r="F117" s="33" t="n">
        <v>1</v>
      </c>
      <c r="G117" s="34" t="n">
        <v>29.148</v>
      </c>
      <c r="H117" s="33" t="n">
        <v>69</v>
      </c>
      <c r="I117" s="34" t="n">
        <f aca="false">G117*((100-H117)/100)</f>
        <v>9.03588</v>
      </c>
      <c r="J117" s="35"/>
      <c r="K117" s="36" t="n">
        <f aca="false">+F117*J117</f>
        <v>0</v>
      </c>
      <c r="L117" s="37" t="n">
        <f aca="false">I117*K117</f>
        <v>0</v>
      </c>
    </row>
    <row r="118" customFormat="false" ht="15" hidden="false" customHeight="false" outlineLevel="0" collapsed="false">
      <c r="A118" s="32" t="s">
        <v>247</v>
      </c>
      <c r="B118" s="32" t="s">
        <v>23</v>
      </c>
      <c r="C118" s="32" t="s">
        <v>248</v>
      </c>
      <c r="D118" s="32" t="s">
        <v>240</v>
      </c>
      <c r="E118" s="33" t="n">
        <v>8430942327026</v>
      </c>
      <c r="F118" s="33" t="n">
        <v>1</v>
      </c>
      <c r="G118" s="34" t="n">
        <v>30.828</v>
      </c>
      <c r="H118" s="33" t="n">
        <v>69</v>
      </c>
      <c r="I118" s="34" t="n">
        <f aca="false">G118*((100-H118)/100)</f>
        <v>9.55668</v>
      </c>
      <c r="J118" s="35"/>
      <c r="K118" s="36" t="n">
        <f aca="false">+F118*J118</f>
        <v>0</v>
      </c>
      <c r="L118" s="37" t="n">
        <f aca="false">I118*K118</f>
        <v>0</v>
      </c>
    </row>
    <row r="119" customFormat="false" ht="15" hidden="false" customHeight="false" outlineLevel="0" collapsed="false">
      <c r="A119" s="32" t="s">
        <v>249</v>
      </c>
      <c r="B119" s="32" t="s">
        <v>23</v>
      </c>
      <c r="C119" s="32" t="s">
        <v>250</v>
      </c>
      <c r="D119" s="32" t="s">
        <v>240</v>
      </c>
      <c r="E119" s="33" t="n">
        <v>8430942327033</v>
      </c>
      <c r="F119" s="33" t="n">
        <v>1</v>
      </c>
      <c r="G119" s="34" t="n">
        <v>31.8675</v>
      </c>
      <c r="H119" s="33" t="n">
        <v>69</v>
      </c>
      <c r="I119" s="34" t="n">
        <f aca="false">G119*((100-H119)/100)</f>
        <v>9.878925</v>
      </c>
      <c r="J119" s="35"/>
      <c r="K119" s="36" t="n">
        <f aca="false">+F119*J119</f>
        <v>0</v>
      </c>
      <c r="L119" s="37" t="n">
        <f aca="false">I119*K119</f>
        <v>0</v>
      </c>
    </row>
    <row r="120" customFormat="false" ht="15" hidden="false" customHeight="false" outlineLevel="0" collapsed="false">
      <c r="A120" s="32" t="s">
        <v>251</v>
      </c>
      <c r="B120" s="32" t="s">
        <v>23</v>
      </c>
      <c r="C120" s="32" t="s">
        <v>252</v>
      </c>
      <c r="D120" s="32" t="s">
        <v>253</v>
      </c>
      <c r="E120" s="33" t="n">
        <v>8430942352592</v>
      </c>
      <c r="F120" s="33" t="n">
        <v>1</v>
      </c>
      <c r="G120" s="34" t="n">
        <v>30.744</v>
      </c>
      <c r="H120" s="33" t="n">
        <v>69</v>
      </c>
      <c r="I120" s="34" t="n">
        <f aca="false">G120*((100-H120)/100)</f>
        <v>9.53064</v>
      </c>
      <c r="J120" s="35"/>
      <c r="K120" s="36" t="n">
        <f aca="false">+F120*J120</f>
        <v>0</v>
      </c>
      <c r="L120" s="37" t="n">
        <f aca="false">I120*K120</f>
        <v>0</v>
      </c>
    </row>
    <row r="121" customFormat="false" ht="15" hidden="false" customHeight="false" outlineLevel="0" collapsed="false">
      <c r="A121" s="32" t="s">
        <v>254</v>
      </c>
      <c r="B121" s="32" t="s">
        <v>23</v>
      </c>
      <c r="C121" s="32" t="s">
        <v>255</v>
      </c>
      <c r="D121" s="32" t="s">
        <v>253</v>
      </c>
      <c r="E121" s="33" t="n">
        <v>8430942017668</v>
      </c>
      <c r="F121" s="33" t="n">
        <v>1</v>
      </c>
      <c r="G121" s="34" t="n">
        <v>29.379</v>
      </c>
      <c r="H121" s="33" t="n">
        <v>69</v>
      </c>
      <c r="I121" s="34" t="n">
        <f aca="false">G121*((100-H121)/100)</f>
        <v>9.10749</v>
      </c>
      <c r="J121" s="35"/>
      <c r="K121" s="36" t="n">
        <f aca="false">+F121*J121</f>
        <v>0</v>
      </c>
      <c r="L121" s="37" t="n">
        <f aca="false">I121*K121</f>
        <v>0</v>
      </c>
    </row>
    <row r="122" customFormat="false" ht="15" hidden="false" customHeight="false" outlineLevel="0" collapsed="false">
      <c r="A122" s="32" t="s">
        <v>256</v>
      </c>
      <c r="B122" s="32" t="s">
        <v>23</v>
      </c>
      <c r="C122" s="32" t="s">
        <v>257</v>
      </c>
      <c r="D122" s="32" t="s">
        <v>253</v>
      </c>
      <c r="E122" s="33" t="n">
        <v>8430942331498</v>
      </c>
      <c r="F122" s="33" t="n">
        <v>1</v>
      </c>
      <c r="G122" s="34" t="n">
        <v>29.379</v>
      </c>
      <c r="H122" s="33" t="n">
        <v>69</v>
      </c>
      <c r="I122" s="34" t="n">
        <f aca="false">G122*((100-H122)/100)</f>
        <v>9.10749</v>
      </c>
      <c r="J122" s="35"/>
      <c r="K122" s="36" t="n">
        <f aca="false">+F122*J122</f>
        <v>0</v>
      </c>
      <c r="L122" s="37" t="n">
        <f aca="false">I122*K122</f>
        <v>0</v>
      </c>
    </row>
    <row r="123" customFormat="false" ht="15" hidden="false" customHeight="false" outlineLevel="0" collapsed="false">
      <c r="A123" s="32" t="s">
        <v>258</v>
      </c>
      <c r="B123" s="32" t="s">
        <v>23</v>
      </c>
      <c r="C123" s="32" t="s">
        <v>259</v>
      </c>
      <c r="D123" s="32" t="s">
        <v>253</v>
      </c>
      <c r="E123" s="33" t="n">
        <v>8430942034467</v>
      </c>
      <c r="F123" s="33" t="n">
        <v>1</v>
      </c>
      <c r="G123" s="34" t="n">
        <v>32.34</v>
      </c>
      <c r="H123" s="33" t="n">
        <v>69</v>
      </c>
      <c r="I123" s="34" t="n">
        <f aca="false">G123*((100-H123)/100)</f>
        <v>10.0254</v>
      </c>
      <c r="J123" s="35"/>
      <c r="K123" s="36" t="n">
        <f aca="false">+F123*J123</f>
        <v>0</v>
      </c>
      <c r="L123" s="37" t="n">
        <f aca="false">I123*K123</f>
        <v>0</v>
      </c>
    </row>
    <row r="124" customFormat="false" ht="15" hidden="false" customHeight="false" outlineLevel="0" collapsed="false">
      <c r="A124" s="32" t="s">
        <v>260</v>
      </c>
      <c r="B124" s="32" t="s">
        <v>23</v>
      </c>
      <c r="C124" s="32" t="s">
        <v>261</v>
      </c>
      <c r="D124" s="32" t="s">
        <v>253</v>
      </c>
      <c r="E124" s="33" t="n">
        <v>8430942009298</v>
      </c>
      <c r="F124" s="33" t="n">
        <v>1</v>
      </c>
      <c r="G124" s="34" t="n">
        <v>35.028</v>
      </c>
      <c r="H124" s="33" t="n">
        <v>69</v>
      </c>
      <c r="I124" s="34" t="n">
        <f aca="false">G124*((100-H124)/100)</f>
        <v>10.85868</v>
      </c>
      <c r="J124" s="35"/>
      <c r="K124" s="36" t="n">
        <f aca="false">+F124*J124</f>
        <v>0</v>
      </c>
      <c r="L124" s="37" t="n">
        <f aca="false">I124*K124</f>
        <v>0</v>
      </c>
    </row>
    <row r="125" customFormat="false" ht="15" hidden="false" customHeight="false" outlineLevel="0" collapsed="false">
      <c r="A125" s="32" t="s">
        <v>262</v>
      </c>
      <c r="B125" s="32" t="s">
        <v>23</v>
      </c>
      <c r="C125" s="32" t="s">
        <v>263</v>
      </c>
      <c r="D125" s="32" t="s">
        <v>253</v>
      </c>
      <c r="E125" s="33" t="n">
        <v>8430942006174</v>
      </c>
      <c r="F125" s="33" t="n">
        <v>1</v>
      </c>
      <c r="G125" s="34" t="n">
        <v>39.753</v>
      </c>
      <c r="H125" s="33" t="n">
        <v>69</v>
      </c>
      <c r="I125" s="34" t="n">
        <f aca="false">G125*((100-H125)/100)</f>
        <v>12.32343</v>
      </c>
      <c r="J125" s="35"/>
      <c r="K125" s="36" t="n">
        <f aca="false">+F125*J125</f>
        <v>0</v>
      </c>
      <c r="L125" s="37" t="n">
        <f aca="false">I125*K125</f>
        <v>0</v>
      </c>
    </row>
    <row r="126" customFormat="false" ht="15" hidden="false" customHeight="false" outlineLevel="0" collapsed="false">
      <c r="A126" s="32" t="s">
        <v>264</v>
      </c>
      <c r="B126" s="32" t="s">
        <v>23</v>
      </c>
      <c r="C126" s="32" t="s">
        <v>265</v>
      </c>
      <c r="D126" s="32" t="s">
        <v>253</v>
      </c>
      <c r="E126" s="33" t="n">
        <v>8430942352608</v>
      </c>
      <c r="F126" s="33" t="n">
        <v>1</v>
      </c>
      <c r="G126" s="34" t="n">
        <v>28.203</v>
      </c>
      <c r="H126" s="33" t="n">
        <v>69</v>
      </c>
      <c r="I126" s="34" t="n">
        <f aca="false">G126*((100-H126)/100)</f>
        <v>8.74293</v>
      </c>
      <c r="J126" s="35"/>
      <c r="K126" s="36" t="n">
        <f aca="false">+F126*J126</f>
        <v>0</v>
      </c>
      <c r="L126" s="37" t="n">
        <f aca="false">I126*K126</f>
        <v>0</v>
      </c>
    </row>
    <row r="127" customFormat="false" ht="15" hidden="false" customHeight="false" outlineLevel="0" collapsed="false">
      <c r="A127" s="32" t="s">
        <v>266</v>
      </c>
      <c r="B127" s="32" t="s">
        <v>23</v>
      </c>
      <c r="C127" s="32" t="s">
        <v>267</v>
      </c>
      <c r="D127" s="32" t="s">
        <v>253</v>
      </c>
      <c r="E127" s="33" t="n">
        <v>8430942048945</v>
      </c>
      <c r="F127" s="33" t="n">
        <v>1</v>
      </c>
      <c r="G127" s="34" t="n">
        <v>29.379</v>
      </c>
      <c r="H127" s="33" t="n">
        <v>69</v>
      </c>
      <c r="I127" s="34" t="n">
        <f aca="false">G127*((100-H127)/100)</f>
        <v>9.10749</v>
      </c>
      <c r="J127" s="35"/>
      <c r="K127" s="36" t="n">
        <f aca="false">+F127*J127</f>
        <v>0</v>
      </c>
      <c r="L127" s="37" t="n">
        <f aca="false">I127*K127</f>
        <v>0</v>
      </c>
    </row>
    <row r="128" customFormat="false" ht="15" hidden="false" customHeight="false" outlineLevel="0" collapsed="false">
      <c r="A128" s="32" t="s">
        <v>268</v>
      </c>
      <c r="B128" s="32" t="s">
        <v>23</v>
      </c>
      <c r="C128" s="32" t="s">
        <v>269</v>
      </c>
      <c r="D128" s="32" t="s">
        <v>253</v>
      </c>
      <c r="E128" s="33" t="n">
        <v>8430942048952</v>
      </c>
      <c r="F128" s="33" t="n">
        <v>1</v>
      </c>
      <c r="G128" s="34" t="n">
        <v>29.379</v>
      </c>
      <c r="H128" s="33" t="n">
        <v>69</v>
      </c>
      <c r="I128" s="34" t="n">
        <f aca="false">G128*((100-H128)/100)</f>
        <v>9.10749</v>
      </c>
      <c r="J128" s="35"/>
      <c r="K128" s="36" t="n">
        <f aca="false">+F128*J128</f>
        <v>0</v>
      </c>
      <c r="L128" s="37" t="n">
        <f aca="false">I128*K128</f>
        <v>0</v>
      </c>
    </row>
    <row r="129" customFormat="false" ht="15" hidden="false" customHeight="false" outlineLevel="0" collapsed="false">
      <c r="A129" s="32" t="s">
        <v>270</v>
      </c>
      <c r="B129" s="32" t="s">
        <v>23</v>
      </c>
      <c r="C129" s="32" t="s">
        <v>271</v>
      </c>
      <c r="D129" s="32" t="s">
        <v>253</v>
      </c>
      <c r="E129" s="33" t="n">
        <v>8430942048969</v>
      </c>
      <c r="F129" s="33" t="n">
        <v>1</v>
      </c>
      <c r="G129" s="34" t="n">
        <v>32.34</v>
      </c>
      <c r="H129" s="33" t="n">
        <v>69</v>
      </c>
      <c r="I129" s="34" t="n">
        <f aca="false">G129*((100-H129)/100)</f>
        <v>10.0254</v>
      </c>
      <c r="J129" s="35"/>
      <c r="K129" s="36" t="n">
        <f aca="false">+F129*J129</f>
        <v>0</v>
      </c>
      <c r="L129" s="37" t="n">
        <f aca="false">I129*K129</f>
        <v>0</v>
      </c>
    </row>
    <row r="130" customFormat="false" ht="15" hidden="false" customHeight="false" outlineLevel="0" collapsed="false">
      <c r="A130" s="32" t="s">
        <v>272</v>
      </c>
      <c r="B130" s="32" t="s">
        <v>23</v>
      </c>
      <c r="C130" s="32" t="s">
        <v>273</v>
      </c>
      <c r="D130" s="32" t="s">
        <v>253</v>
      </c>
      <c r="E130" s="33" t="n">
        <v>8430942048976</v>
      </c>
      <c r="F130" s="33" t="n">
        <v>1</v>
      </c>
      <c r="G130" s="34" t="n">
        <v>35.028</v>
      </c>
      <c r="H130" s="33" t="n">
        <v>69</v>
      </c>
      <c r="I130" s="34" t="n">
        <f aca="false">G130*((100-H130)/100)</f>
        <v>10.85868</v>
      </c>
      <c r="J130" s="35"/>
      <c r="K130" s="36" t="n">
        <f aca="false">+F130*J130</f>
        <v>0</v>
      </c>
      <c r="L130" s="37" t="n">
        <f aca="false">I130*K130</f>
        <v>0</v>
      </c>
    </row>
    <row r="131" customFormat="false" ht="15" hidden="false" customHeight="false" outlineLevel="0" collapsed="false">
      <c r="A131" s="32" t="s">
        <v>274</v>
      </c>
      <c r="B131" s="32" t="s">
        <v>23</v>
      </c>
      <c r="C131" s="32" t="s">
        <v>275</v>
      </c>
      <c r="D131" s="32" t="s">
        <v>253</v>
      </c>
      <c r="E131" s="33" t="n">
        <v>8430942048990</v>
      </c>
      <c r="F131" s="33" t="n">
        <v>1</v>
      </c>
      <c r="G131" s="34" t="n">
        <v>39.753</v>
      </c>
      <c r="H131" s="33" t="n">
        <v>69</v>
      </c>
      <c r="I131" s="34" t="n">
        <f aca="false">G131*((100-H131)/100)</f>
        <v>12.32343</v>
      </c>
      <c r="J131" s="35"/>
      <c r="K131" s="36" t="n">
        <f aca="false">+F131*J131</f>
        <v>0</v>
      </c>
      <c r="L131" s="37" t="n">
        <f aca="false">I131*K131</f>
        <v>0</v>
      </c>
    </row>
    <row r="132" customFormat="false" ht="15" hidden="false" customHeight="false" outlineLevel="0" collapsed="false">
      <c r="A132" s="32" t="s">
        <v>276</v>
      </c>
      <c r="B132" s="32" t="s">
        <v>23</v>
      </c>
      <c r="C132" s="32" t="s">
        <v>277</v>
      </c>
      <c r="D132" s="32" t="s">
        <v>278</v>
      </c>
      <c r="E132" s="33" t="n">
        <v>8430942352615</v>
      </c>
      <c r="F132" s="33" t="n">
        <v>10</v>
      </c>
      <c r="G132" s="34" t="n">
        <v>20.769</v>
      </c>
      <c r="H132" s="33" t="n">
        <v>69</v>
      </c>
      <c r="I132" s="34" t="n">
        <f aca="false">G132*((100-H132)/100)</f>
        <v>6.43839</v>
      </c>
      <c r="J132" s="35"/>
      <c r="K132" s="36" t="n">
        <f aca="false">+F132*J132</f>
        <v>0</v>
      </c>
      <c r="L132" s="37" t="n">
        <f aca="false">I132*K132</f>
        <v>0</v>
      </c>
    </row>
    <row r="133" customFormat="false" ht="15" hidden="false" customHeight="false" outlineLevel="0" collapsed="false">
      <c r="A133" s="32" t="s">
        <v>279</v>
      </c>
      <c r="B133" s="32" t="s">
        <v>23</v>
      </c>
      <c r="C133" s="32" t="s">
        <v>280</v>
      </c>
      <c r="D133" s="32" t="s">
        <v>278</v>
      </c>
      <c r="E133" s="33" t="n">
        <v>8430942006358</v>
      </c>
      <c r="F133" s="33" t="n">
        <v>10</v>
      </c>
      <c r="G133" s="34" t="n">
        <v>20.769</v>
      </c>
      <c r="H133" s="33" t="n">
        <v>69</v>
      </c>
      <c r="I133" s="34" t="n">
        <f aca="false">G133*((100-H133)/100)</f>
        <v>6.43839</v>
      </c>
      <c r="J133" s="35"/>
      <c r="K133" s="36" t="n">
        <f aca="false">+F133*J133</f>
        <v>0</v>
      </c>
      <c r="L133" s="37" t="n">
        <f aca="false">I133*K133</f>
        <v>0</v>
      </c>
    </row>
    <row r="134" customFormat="false" ht="15" hidden="false" customHeight="false" outlineLevel="0" collapsed="false">
      <c r="A134" s="32" t="s">
        <v>281</v>
      </c>
      <c r="B134" s="32" t="s">
        <v>23</v>
      </c>
      <c r="C134" s="32" t="s">
        <v>282</v>
      </c>
      <c r="D134" s="32" t="s">
        <v>278</v>
      </c>
      <c r="E134" s="33" t="n">
        <v>8430942006280</v>
      </c>
      <c r="F134" s="33" t="n">
        <v>10</v>
      </c>
      <c r="G134" s="34" t="n">
        <v>21.609</v>
      </c>
      <c r="H134" s="33" t="n">
        <v>69</v>
      </c>
      <c r="I134" s="34" t="n">
        <f aca="false">G134*((100-H134)/100)</f>
        <v>6.69879</v>
      </c>
      <c r="J134" s="35"/>
      <c r="K134" s="36" t="n">
        <f aca="false">+F134*J134</f>
        <v>0</v>
      </c>
      <c r="L134" s="37" t="n">
        <f aca="false">I134*K134</f>
        <v>0</v>
      </c>
    </row>
    <row r="135" customFormat="false" ht="15" hidden="false" customHeight="false" outlineLevel="0" collapsed="false">
      <c r="A135" s="32" t="s">
        <v>283</v>
      </c>
      <c r="B135" s="32" t="s">
        <v>23</v>
      </c>
      <c r="C135" s="32" t="s">
        <v>284</v>
      </c>
      <c r="D135" s="32" t="s">
        <v>278</v>
      </c>
      <c r="E135" s="33" t="n">
        <v>8430942029159</v>
      </c>
      <c r="F135" s="33" t="n">
        <v>10</v>
      </c>
      <c r="G135" s="34" t="n">
        <v>25.368</v>
      </c>
      <c r="H135" s="33" t="n">
        <v>69</v>
      </c>
      <c r="I135" s="34" t="n">
        <f aca="false">G135*((100-H135)/100)</f>
        <v>7.86408</v>
      </c>
      <c r="J135" s="35"/>
      <c r="K135" s="36" t="n">
        <f aca="false">+F135*J135</f>
        <v>0</v>
      </c>
      <c r="L135" s="37" t="n">
        <f aca="false">I135*K135</f>
        <v>0</v>
      </c>
    </row>
    <row r="136" customFormat="false" ht="15" hidden="false" customHeight="false" outlineLevel="0" collapsed="false">
      <c r="A136" s="32" t="s">
        <v>285</v>
      </c>
      <c r="B136" s="32" t="s">
        <v>23</v>
      </c>
      <c r="C136" s="32" t="s">
        <v>286</v>
      </c>
      <c r="D136" s="32" t="s">
        <v>278</v>
      </c>
      <c r="E136" s="33" t="n">
        <v>8430942029142</v>
      </c>
      <c r="F136" s="33" t="n">
        <v>10</v>
      </c>
      <c r="G136" s="34" t="n">
        <v>28.3395</v>
      </c>
      <c r="H136" s="33" t="n">
        <v>69</v>
      </c>
      <c r="I136" s="34" t="n">
        <f aca="false">G136*((100-H136)/100)</f>
        <v>8.785245</v>
      </c>
      <c r="J136" s="35"/>
      <c r="K136" s="36" t="n">
        <f aca="false">+F136*J136</f>
        <v>0</v>
      </c>
      <c r="L136" s="37" t="n">
        <f aca="false">I136*K136</f>
        <v>0</v>
      </c>
    </row>
    <row r="137" customFormat="false" ht="15" hidden="false" customHeight="false" outlineLevel="0" collapsed="false">
      <c r="A137" s="32" t="s">
        <v>287</v>
      </c>
      <c r="B137" s="32" t="s">
        <v>23</v>
      </c>
      <c r="C137" s="32" t="s">
        <v>288</v>
      </c>
      <c r="D137" s="32" t="s">
        <v>278</v>
      </c>
      <c r="E137" s="33" t="n">
        <v>8430942029135</v>
      </c>
      <c r="F137" s="33" t="n">
        <v>10</v>
      </c>
      <c r="G137" s="34" t="n">
        <v>28.3395</v>
      </c>
      <c r="H137" s="33" t="n">
        <v>69</v>
      </c>
      <c r="I137" s="34" t="n">
        <f aca="false">G137*((100-H137)/100)</f>
        <v>8.785245</v>
      </c>
      <c r="J137" s="35"/>
      <c r="K137" s="36" t="n">
        <f aca="false">+F137*J137</f>
        <v>0</v>
      </c>
      <c r="L137" s="37" t="n">
        <f aca="false">I137*K137</f>
        <v>0</v>
      </c>
    </row>
    <row r="138" customFormat="false" ht="15" hidden="false" customHeight="false" outlineLevel="0" collapsed="false">
      <c r="A138" s="32" t="s">
        <v>289</v>
      </c>
      <c r="B138" s="32" t="s">
        <v>23</v>
      </c>
      <c r="C138" s="32" t="s">
        <v>290</v>
      </c>
      <c r="D138" s="32" t="s">
        <v>291</v>
      </c>
      <c r="E138" s="33" t="n">
        <v>8430942352653</v>
      </c>
      <c r="F138" s="33" t="n">
        <v>1</v>
      </c>
      <c r="G138" s="34" t="n">
        <v>50.2215</v>
      </c>
      <c r="H138" s="33" t="n">
        <v>69</v>
      </c>
      <c r="I138" s="34" t="n">
        <f aca="false">G138*((100-H138)/100)</f>
        <v>15.568665</v>
      </c>
      <c r="J138" s="35"/>
      <c r="K138" s="36" t="n">
        <f aca="false">+F138*J138</f>
        <v>0</v>
      </c>
      <c r="L138" s="37" t="n">
        <f aca="false">I138*K138</f>
        <v>0</v>
      </c>
    </row>
    <row r="139" customFormat="false" ht="15" hidden="false" customHeight="false" outlineLevel="0" collapsed="false">
      <c r="A139" s="32" t="s">
        <v>292</v>
      </c>
      <c r="B139" s="32" t="s">
        <v>23</v>
      </c>
      <c r="C139" s="32" t="s">
        <v>293</v>
      </c>
      <c r="D139" s="32" t="s">
        <v>291</v>
      </c>
      <c r="E139" s="33" t="n">
        <v>8430942332518</v>
      </c>
      <c r="F139" s="33" t="n">
        <v>1</v>
      </c>
      <c r="G139" s="34" t="n">
        <v>52.3215</v>
      </c>
      <c r="H139" s="33" t="n">
        <v>69</v>
      </c>
      <c r="I139" s="34" t="n">
        <f aca="false">G139*((100-H139)/100)</f>
        <v>16.219665</v>
      </c>
      <c r="J139" s="35"/>
      <c r="K139" s="36" t="n">
        <f aca="false">+F139*J139</f>
        <v>0</v>
      </c>
      <c r="L139" s="37" t="n">
        <f aca="false">I139*K139</f>
        <v>0</v>
      </c>
    </row>
    <row r="140" customFormat="false" ht="15" hidden="false" customHeight="false" outlineLevel="0" collapsed="false">
      <c r="A140" s="32" t="s">
        <v>294</v>
      </c>
      <c r="B140" s="32" t="s">
        <v>23</v>
      </c>
      <c r="C140" s="32" t="s">
        <v>295</v>
      </c>
      <c r="D140" s="32" t="s">
        <v>291</v>
      </c>
      <c r="E140" s="33" t="n">
        <v>8430942025946</v>
      </c>
      <c r="F140" s="33" t="n">
        <v>1</v>
      </c>
      <c r="G140" s="34" t="n">
        <v>52.3215</v>
      </c>
      <c r="H140" s="33" t="n">
        <v>69</v>
      </c>
      <c r="I140" s="34" t="n">
        <f aca="false">G140*((100-H140)/100)</f>
        <v>16.219665</v>
      </c>
      <c r="J140" s="35"/>
      <c r="K140" s="36" t="n">
        <f aca="false">+F140*J140</f>
        <v>0</v>
      </c>
      <c r="L140" s="37" t="n">
        <f aca="false">I140*K140</f>
        <v>0</v>
      </c>
    </row>
    <row r="141" customFormat="false" ht="15" hidden="false" customHeight="false" outlineLevel="0" collapsed="false">
      <c r="A141" s="32" t="s">
        <v>296</v>
      </c>
      <c r="B141" s="32" t="s">
        <v>23</v>
      </c>
      <c r="C141" s="32" t="s">
        <v>297</v>
      </c>
      <c r="D141" s="32" t="s">
        <v>291</v>
      </c>
      <c r="E141" s="33" t="n">
        <v>8430942025908</v>
      </c>
      <c r="F141" s="33" t="n">
        <v>1</v>
      </c>
      <c r="G141" s="34" t="n">
        <v>56.8995</v>
      </c>
      <c r="H141" s="33" t="n">
        <v>69</v>
      </c>
      <c r="I141" s="34" t="n">
        <f aca="false">G141*((100-H141)/100)</f>
        <v>17.638845</v>
      </c>
      <c r="J141" s="35"/>
      <c r="K141" s="36" t="n">
        <f aca="false">+F141*J141</f>
        <v>0</v>
      </c>
      <c r="L141" s="37" t="n">
        <f aca="false">I141*K141</f>
        <v>0</v>
      </c>
    </row>
    <row r="142" customFormat="false" ht="15" hidden="false" customHeight="false" outlineLevel="0" collapsed="false">
      <c r="A142" s="32" t="s">
        <v>298</v>
      </c>
      <c r="B142" s="32" t="s">
        <v>23</v>
      </c>
      <c r="C142" s="32" t="s">
        <v>299</v>
      </c>
      <c r="D142" s="32" t="s">
        <v>291</v>
      </c>
      <c r="E142" s="33" t="n">
        <v>8430942332525</v>
      </c>
      <c r="F142" s="33" t="n">
        <v>1</v>
      </c>
      <c r="G142" s="34" t="n">
        <v>74.7495</v>
      </c>
      <c r="H142" s="33" t="n">
        <v>69</v>
      </c>
      <c r="I142" s="34" t="n">
        <f aca="false">G142*((100-H142)/100)</f>
        <v>23.172345</v>
      </c>
      <c r="J142" s="35"/>
      <c r="K142" s="36" t="n">
        <f aca="false">+F142*J142</f>
        <v>0</v>
      </c>
      <c r="L142" s="37" t="n">
        <f aca="false">I142*K142</f>
        <v>0</v>
      </c>
    </row>
    <row r="143" customFormat="false" ht="15" hidden="false" customHeight="false" outlineLevel="0" collapsed="false">
      <c r="A143" s="32" t="s">
        <v>300</v>
      </c>
      <c r="B143" s="32" t="s">
        <v>23</v>
      </c>
      <c r="C143" s="32" t="s">
        <v>301</v>
      </c>
      <c r="D143" s="32" t="s">
        <v>291</v>
      </c>
      <c r="E143" s="33" t="n">
        <v>8430942025885</v>
      </c>
      <c r="F143" s="33" t="n">
        <v>1</v>
      </c>
      <c r="G143" s="34" t="n">
        <v>75.7785</v>
      </c>
      <c r="H143" s="33" t="n">
        <v>69</v>
      </c>
      <c r="I143" s="34" t="n">
        <f aca="false">G143*((100-H143)/100)</f>
        <v>23.491335</v>
      </c>
      <c r="J143" s="35"/>
      <c r="K143" s="36" t="n">
        <f aca="false">+F143*J143</f>
        <v>0</v>
      </c>
      <c r="L143" s="37" t="n">
        <f aca="false">I143*K143</f>
        <v>0</v>
      </c>
    </row>
    <row r="144" customFormat="false" ht="15" hidden="false" customHeight="false" outlineLevel="0" collapsed="false">
      <c r="A144" s="32" t="s">
        <v>302</v>
      </c>
      <c r="B144" s="32" t="s">
        <v>23</v>
      </c>
      <c r="C144" s="32" t="s">
        <v>303</v>
      </c>
      <c r="D144" s="32" t="s">
        <v>304</v>
      </c>
      <c r="E144" s="33" t="n">
        <v>8430942352561</v>
      </c>
      <c r="F144" s="33" t="n">
        <v>1</v>
      </c>
      <c r="G144" s="34" t="n">
        <v>68.7855</v>
      </c>
      <c r="H144" s="33" t="n">
        <v>69</v>
      </c>
      <c r="I144" s="34" t="n">
        <f aca="false">G144*((100-H144)/100)</f>
        <v>21.323505</v>
      </c>
      <c r="J144" s="35"/>
      <c r="K144" s="36" t="n">
        <f aca="false">+F144*J144</f>
        <v>0</v>
      </c>
      <c r="L144" s="37" t="n">
        <f aca="false">I144*K144</f>
        <v>0</v>
      </c>
    </row>
    <row r="145" customFormat="false" ht="15" hidden="false" customHeight="false" outlineLevel="0" collapsed="false">
      <c r="A145" s="32" t="s">
        <v>305</v>
      </c>
      <c r="B145" s="32" t="s">
        <v>23</v>
      </c>
      <c r="C145" s="32" t="s">
        <v>306</v>
      </c>
      <c r="D145" s="32" t="s">
        <v>304</v>
      </c>
      <c r="E145" s="33" t="n">
        <v>8430942049225</v>
      </c>
      <c r="F145" s="33" t="n">
        <v>1</v>
      </c>
      <c r="G145" s="34" t="n">
        <v>71.6415</v>
      </c>
      <c r="H145" s="33" t="n">
        <v>69</v>
      </c>
      <c r="I145" s="34" t="n">
        <f aca="false">G145*((100-H145)/100)</f>
        <v>22.208865</v>
      </c>
      <c r="J145" s="35"/>
      <c r="K145" s="36" t="n">
        <f aca="false">+F145*J145</f>
        <v>0</v>
      </c>
      <c r="L145" s="37" t="n">
        <f aca="false">I145*K145</f>
        <v>0</v>
      </c>
    </row>
    <row r="146" customFormat="false" ht="15" hidden="false" customHeight="false" outlineLevel="0" collapsed="false">
      <c r="A146" s="32" t="s">
        <v>307</v>
      </c>
      <c r="B146" s="32" t="s">
        <v>23</v>
      </c>
      <c r="C146" s="32" t="s">
        <v>308</v>
      </c>
      <c r="D146" s="32" t="s">
        <v>304</v>
      </c>
      <c r="E146" s="33" t="n">
        <v>8430942049232</v>
      </c>
      <c r="F146" s="33" t="n">
        <v>1</v>
      </c>
      <c r="G146" s="34" t="n">
        <v>71.6415</v>
      </c>
      <c r="H146" s="33" t="n">
        <v>69</v>
      </c>
      <c r="I146" s="34" t="n">
        <f aca="false">G146*((100-H146)/100)</f>
        <v>22.208865</v>
      </c>
      <c r="J146" s="35"/>
      <c r="K146" s="36" t="n">
        <f aca="false">+F146*J146</f>
        <v>0</v>
      </c>
      <c r="L146" s="37" t="n">
        <f aca="false">I146*K146</f>
        <v>0</v>
      </c>
    </row>
    <row r="147" customFormat="false" ht="15" hidden="false" customHeight="false" outlineLevel="0" collapsed="false">
      <c r="A147" s="32" t="s">
        <v>309</v>
      </c>
      <c r="B147" s="32" t="s">
        <v>23</v>
      </c>
      <c r="C147" s="32" t="s">
        <v>310</v>
      </c>
      <c r="D147" s="32" t="s">
        <v>304</v>
      </c>
      <c r="E147" s="33" t="n">
        <v>8430942049249</v>
      </c>
      <c r="F147" s="33" t="n">
        <v>1</v>
      </c>
      <c r="G147" s="34" t="n">
        <v>78.9495</v>
      </c>
      <c r="H147" s="33" t="n">
        <v>69</v>
      </c>
      <c r="I147" s="34" t="n">
        <f aca="false">G147*((100-H147)/100)</f>
        <v>24.474345</v>
      </c>
      <c r="J147" s="35"/>
      <c r="K147" s="36" t="n">
        <f aca="false">+F147*J147</f>
        <v>0</v>
      </c>
      <c r="L147" s="37" t="n">
        <f aca="false">I147*K147</f>
        <v>0</v>
      </c>
    </row>
    <row r="148" customFormat="false" ht="15" hidden="false" customHeight="false" outlineLevel="0" collapsed="false">
      <c r="A148" s="32" t="s">
        <v>311</v>
      </c>
      <c r="B148" s="32" t="s">
        <v>23</v>
      </c>
      <c r="C148" s="32" t="s">
        <v>312</v>
      </c>
      <c r="D148" s="32" t="s">
        <v>304</v>
      </c>
      <c r="E148" s="33" t="n">
        <v>8430942049256</v>
      </c>
      <c r="F148" s="33" t="n">
        <v>1</v>
      </c>
      <c r="G148" s="34" t="n">
        <v>88.9875</v>
      </c>
      <c r="H148" s="33" t="n">
        <v>69</v>
      </c>
      <c r="I148" s="34" t="n">
        <f aca="false">G148*((100-H148)/100)</f>
        <v>27.586125</v>
      </c>
      <c r="J148" s="35"/>
      <c r="K148" s="36" t="n">
        <f aca="false">+F148*J148</f>
        <v>0</v>
      </c>
      <c r="L148" s="37" t="n">
        <f aca="false">I148*K148</f>
        <v>0</v>
      </c>
    </row>
    <row r="149" customFormat="false" ht="15" hidden="false" customHeight="false" outlineLevel="0" collapsed="false">
      <c r="A149" s="32" t="s">
        <v>313</v>
      </c>
      <c r="B149" s="32" t="s">
        <v>23</v>
      </c>
      <c r="C149" s="32" t="s">
        <v>314</v>
      </c>
      <c r="D149" s="32" t="s">
        <v>304</v>
      </c>
      <c r="E149" s="33" t="n">
        <v>8430942049263</v>
      </c>
      <c r="F149" s="33" t="n">
        <v>1</v>
      </c>
      <c r="G149" s="34" t="n">
        <v>96.642</v>
      </c>
      <c r="H149" s="33" t="n">
        <v>69</v>
      </c>
      <c r="I149" s="34" t="n">
        <f aca="false">G149*((100-H149)/100)</f>
        <v>29.95902</v>
      </c>
      <c r="J149" s="35"/>
      <c r="K149" s="36" t="n">
        <f aca="false">+F149*J149</f>
        <v>0</v>
      </c>
      <c r="L149" s="37" t="n">
        <f aca="false">I149*K149</f>
        <v>0</v>
      </c>
    </row>
    <row r="150" customFormat="false" ht="15" hidden="false" customHeight="false" outlineLevel="0" collapsed="false">
      <c r="A150" s="32" t="s">
        <v>315</v>
      </c>
      <c r="B150" s="32" t="s">
        <v>23</v>
      </c>
      <c r="C150" s="32" t="s">
        <v>316</v>
      </c>
      <c r="D150" s="32" t="s">
        <v>317</v>
      </c>
      <c r="E150" s="33" t="n">
        <v>8430942359652</v>
      </c>
      <c r="F150" s="33" t="n">
        <v>1</v>
      </c>
      <c r="G150" s="34" t="n">
        <v>37.5</v>
      </c>
      <c r="H150" s="33" t="n">
        <v>69</v>
      </c>
      <c r="I150" s="34" t="n">
        <f aca="false">G150*((100-H150)/100)</f>
        <v>11.625</v>
      </c>
      <c r="J150" s="35"/>
      <c r="K150" s="36" t="n">
        <f aca="false">+F150*J150</f>
        <v>0</v>
      </c>
      <c r="L150" s="37" t="n">
        <f aca="false">I150*K150</f>
        <v>0</v>
      </c>
    </row>
    <row r="151" customFormat="false" ht="15" hidden="false" customHeight="false" outlineLevel="0" collapsed="false">
      <c r="A151" s="38" t="s">
        <v>318</v>
      </c>
      <c r="B151" s="38" t="n">
        <v>102050</v>
      </c>
      <c r="C151" s="38" t="s">
        <v>319</v>
      </c>
      <c r="D151" s="38" t="s">
        <v>25</v>
      </c>
      <c r="E151" s="39" t="n">
        <v>8430942007164</v>
      </c>
      <c r="F151" s="39" t="n">
        <v>6</v>
      </c>
      <c r="G151" s="40" t="n">
        <v>23.6565</v>
      </c>
      <c r="H151" s="39" t="n">
        <v>69</v>
      </c>
      <c r="I151" s="40" t="n">
        <f aca="false">G151*((100-H151)/100)</f>
        <v>7.333515</v>
      </c>
      <c r="J151" s="41"/>
      <c r="K151" s="42" t="n">
        <f aca="false">+F151*J151</f>
        <v>0</v>
      </c>
      <c r="L151" s="43" t="n">
        <f aca="false">I151*K151</f>
        <v>0</v>
      </c>
    </row>
    <row r="152" customFormat="false" ht="15" hidden="false" customHeight="false" outlineLevel="0" collapsed="false">
      <c r="A152" s="38" t="s">
        <v>320</v>
      </c>
      <c r="B152" s="38" t="n">
        <v>104211</v>
      </c>
      <c r="C152" s="38" t="s">
        <v>321</v>
      </c>
      <c r="D152" s="38" t="s">
        <v>25</v>
      </c>
      <c r="E152" s="39" t="n">
        <v>8430942007188</v>
      </c>
      <c r="F152" s="39" t="n">
        <v>6</v>
      </c>
      <c r="G152" s="40" t="n">
        <v>26.04</v>
      </c>
      <c r="H152" s="39" t="n">
        <v>69</v>
      </c>
      <c r="I152" s="40" t="n">
        <f aca="false">G152*((100-H152)/100)</f>
        <v>8.0724</v>
      </c>
      <c r="J152" s="41"/>
      <c r="K152" s="42" t="n">
        <f aca="false">+F152*J152</f>
        <v>0</v>
      </c>
      <c r="L152" s="43" t="n">
        <f aca="false">I152*K152</f>
        <v>0</v>
      </c>
    </row>
    <row r="153" customFormat="false" ht="15" hidden="false" customHeight="false" outlineLevel="0" collapsed="false">
      <c r="A153" s="38" t="s">
        <v>322</v>
      </c>
      <c r="B153" s="38" t="n">
        <v>102051</v>
      </c>
      <c r="C153" s="38" t="s">
        <v>323</v>
      </c>
      <c r="D153" s="38" t="s">
        <v>25</v>
      </c>
      <c r="E153" s="39" t="n">
        <v>8430942007201</v>
      </c>
      <c r="F153" s="39" t="n">
        <v>6</v>
      </c>
      <c r="G153" s="40" t="n">
        <v>28.959</v>
      </c>
      <c r="H153" s="39" t="n">
        <v>69</v>
      </c>
      <c r="I153" s="40" t="n">
        <f aca="false">G153*((100-H153)/100)</f>
        <v>8.97729</v>
      </c>
      <c r="J153" s="41"/>
      <c r="K153" s="42" t="n">
        <f aca="false">+F153*J153</f>
        <v>0</v>
      </c>
      <c r="L153" s="43" t="n">
        <f aca="false">I153*K153</f>
        <v>0</v>
      </c>
    </row>
    <row r="154" customFormat="false" ht="15" hidden="false" customHeight="false" outlineLevel="0" collapsed="false">
      <c r="A154" s="32" t="s">
        <v>324</v>
      </c>
      <c r="B154" s="32" t="s">
        <v>23</v>
      </c>
      <c r="C154" s="32" t="s">
        <v>325</v>
      </c>
      <c r="D154" s="32" t="s">
        <v>25</v>
      </c>
      <c r="E154" s="33" t="n">
        <v>8430942007225</v>
      </c>
      <c r="F154" s="33" t="n">
        <v>6</v>
      </c>
      <c r="G154" s="34" t="n">
        <v>31.941</v>
      </c>
      <c r="H154" s="33" t="n">
        <v>69</v>
      </c>
      <c r="I154" s="34" t="n">
        <f aca="false">G154*((100-H154)/100)</f>
        <v>9.90171</v>
      </c>
      <c r="J154" s="35"/>
      <c r="K154" s="36" t="n">
        <f aca="false">+F154*J154</f>
        <v>0</v>
      </c>
      <c r="L154" s="37" t="n">
        <f aca="false">I154*K154</f>
        <v>0</v>
      </c>
    </row>
    <row r="155" customFormat="false" ht="15" hidden="false" customHeight="false" outlineLevel="0" collapsed="false">
      <c r="A155" s="38" t="s">
        <v>326</v>
      </c>
      <c r="B155" s="38" t="n">
        <v>102053</v>
      </c>
      <c r="C155" s="38" t="s">
        <v>327</v>
      </c>
      <c r="D155" s="38" t="s">
        <v>25</v>
      </c>
      <c r="E155" s="39" t="n">
        <v>8430942007263</v>
      </c>
      <c r="F155" s="39" t="n">
        <v>4</v>
      </c>
      <c r="G155" s="40" t="n">
        <v>37.8735</v>
      </c>
      <c r="H155" s="39" t="n">
        <v>69</v>
      </c>
      <c r="I155" s="40" t="n">
        <f aca="false">G155*((100-H155)/100)</f>
        <v>11.740785</v>
      </c>
      <c r="J155" s="41"/>
      <c r="K155" s="42" t="n">
        <f aca="false">+F155*J155</f>
        <v>0</v>
      </c>
      <c r="L155" s="43" t="n">
        <f aca="false">I155*K155</f>
        <v>0</v>
      </c>
    </row>
    <row r="156" customFormat="false" ht="15" hidden="false" customHeight="false" outlineLevel="0" collapsed="false">
      <c r="A156" s="32" t="s">
        <v>328</v>
      </c>
      <c r="B156" s="32" t="s">
        <v>23</v>
      </c>
      <c r="C156" s="32" t="s">
        <v>329</v>
      </c>
      <c r="D156" s="32" t="s">
        <v>25</v>
      </c>
      <c r="E156" s="33" t="n">
        <v>8430942007300</v>
      </c>
      <c r="F156" s="33" t="n">
        <v>2</v>
      </c>
      <c r="G156" s="34" t="n">
        <v>51.219</v>
      </c>
      <c r="H156" s="33" t="n">
        <v>69</v>
      </c>
      <c r="I156" s="34" t="n">
        <f aca="false">G156*((100-H156)/100)</f>
        <v>15.87789</v>
      </c>
      <c r="J156" s="35"/>
      <c r="K156" s="36" t="n">
        <f aca="false">+F156*J156</f>
        <v>0</v>
      </c>
      <c r="L156" s="37" t="n">
        <f aca="false">I156*K156</f>
        <v>0</v>
      </c>
    </row>
    <row r="157" customFormat="false" ht="15" hidden="false" customHeight="false" outlineLevel="0" collapsed="false">
      <c r="A157" s="32" t="s">
        <v>330</v>
      </c>
      <c r="B157" s="32" t="s">
        <v>23</v>
      </c>
      <c r="C157" s="32" t="s">
        <v>331</v>
      </c>
      <c r="D157" s="32" t="s">
        <v>25</v>
      </c>
      <c r="E157" s="33" t="n">
        <v>8430942007324</v>
      </c>
      <c r="F157" s="33" t="n">
        <v>2</v>
      </c>
      <c r="G157" s="34" t="n">
        <v>55.1775</v>
      </c>
      <c r="H157" s="33" t="n">
        <v>69</v>
      </c>
      <c r="I157" s="34" t="n">
        <f aca="false">G157*((100-H157)/100)</f>
        <v>17.105025</v>
      </c>
      <c r="J157" s="35"/>
      <c r="K157" s="36" t="n">
        <f aca="false">+F157*J157</f>
        <v>0</v>
      </c>
      <c r="L157" s="37" t="n">
        <f aca="false">I157*K157</f>
        <v>0</v>
      </c>
    </row>
    <row r="158" customFormat="false" ht="15" hidden="false" customHeight="false" outlineLevel="0" collapsed="false">
      <c r="A158" s="38" t="s">
        <v>332</v>
      </c>
      <c r="B158" s="38" t="n">
        <v>102054</v>
      </c>
      <c r="C158" s="38" t="s">
        <v>333</v>
      </c>
      <c r="D158" s="38" t="s">
        <v>25</v>
      </c>
      <c r="E158" s="39" t="n">
        <v>8430942007331</v>
      </c>
      <c r="F158" s="39" t="n">
        <v>2</v>
      </c>
      <c r="G158" s="40" t="n">
        <v>57.6135</v>
      </c>
      <c r="H158" s="39" t="n">
        <v>69</v>
      </c>
      <c r="I158" s="40" t="n">
        <f aca="false">G158*((100-H158)/100)</f>
        <v>17.860185</v>
      </c>
      <c r="J158" s="41"/>
      <c r="K158" s="42" t="n">
        <f aca="false">+F158*J158</f>
        <v>0</v>
      </c>
      <c r="L158" s="43" t="n">
        <f aca="false">I158*K158</f>
        <v>0</v>
      </c>
    </row>
    <row r="159" customFormat="false" ht="15" hidden="false" customHeight="false" outlineLevel="0" collapsed="false">
      <c r="A159" s="32" t="s">
        <v>334</v>
      </c>
      <c r="B159" s="32" t="s">
        <v>23</v>
      </c>
      <c r="C159" s="32" t="s">
        <v>335</v>
      </c>
      <c r="D159" s="32" t="s">
        <v>25</v>
      </c>
      <c r="E159" s="33" t="n">
        <v>8430942007355</v>
      </c>
      <c r="F159" s="33" t="n">
        <v>2</v>
      </c>
      <c r="G159" s="34" t="n">
        <v>88.1265</v>
      </c>
      <c r="H159" s="33" t="n">
        <v>69</v>
      </c>
      <c r="I159" s="34" t="n">
        <f aca="false">G159*((100-H159)/100)</f>
        <v>27.319215</v>
      </c>
      <c r="J159" s="35"/>
      <c r="K159" s="36" t="n">
        <f aca="false">+F159*J159</f>
        <v>0</v>
      </c>
      <c r="L159" s="37" t="n">
        <f aca="false">I159*K159</f>
        <v>0</v>
      </c>
    </row>
    <row r="160" customFormat="false" ht="15" hidden="false" customHeight="false" outlineLevel="0" collapsed="false">
      <c r="A160" s="32" t="s">
        <v>336</v>
      </c>
      <c r="B160" s="32" t="s">
        <v>23</v>
      </c>
      <c r="C160" s="32" t="s">
        <v>337</v>
      </c>
      <c r="D160" s="32" t="s">
        <v>25</v>
      </c>
      <c r="E160" s="33" t="n">
        <v>8430942007362</v>
      </c>
      <c r="F160" s="33" t="n">
        <v>1</v>
      </c>
      <c r="G160" s="34" t="n">
        <v>108.759</v>
      </c>
      <c r="H160" s="33" t="n">
        <v>69</v>
      </c>
      <c r="I160" s="34" t="n">
        <f aca="false">G160*((100-H160)/100)</f>
        <v>33.71529</v>
      </c>
      <c r="J160" s="35"/>
      <c r="K160" s="36" t="n">
        <f aca="false">+F160*J160</f>
        <v>0</v>
      </c>
      <c r="L160" s="37" t="n">
        <f aca="false">I160*K160</f>
        <v>0</v>
      </c>
    </row>
    <row r="161" customFormat="false" ht="15" hidden="false" customHeight="false" outlineLevel="0" collapsed="false">
      <c r="A161" s="44" t="s">
        <v>338</v>
      </c>
      <c r="B161" s="32" t="s">
        <v>23</v>
      </c>
      <c r="C161" s="32" t="s">
        <v>339</v>
      </c>
      <c r="D161" s="32" t="s">
        <v>62</v>
      </c>
      <c r="E161" s="33" t="n">
        <v>8430942007393</v>
      </c>
      <c r="F161" s="33" t="n">
        <v>6</v>
      </c>
      <c r="G161" s="34" t="n">
        <v>58.884</v>
      </c>
      <c r="H161" s="33" t="n">
        <v>69</v>
      </c>
      <c r="I161" s="34" t="n">
        <f aca="false">G161*((100-H161)/100)</f>
        <v>18.25404</v>
      </c>
      <c r="J161" s="35"/>
      <c r="K161" s="36" t="n">
        <f aca="false">+F161*J161</f>
        <v>0</v>
      </c>
      <c r="L161" s="37" t="n">
        <f aca="false">I161*K161</f>
        <v>0</v>
      </c>
    </row>
    <row r="162" customFormat="false" ht="15" hidden="false" customHeight="false" outlineLevel="0" collapsed="false">
      <c r="A162" s="44" t="s">
        <v>340</v>
      </c>
      <c r="B162" s="32" t="s">
        <v>23</v>
      </c>
      <c r="C162" s="32" t="s">
        <v>341</v>
      </c>
      <c r="D162" s="32" t="s">
        <v>62</v>
      </c>
      <c r="E162" s="33" t="n">
        <v>8430942007409</v>
      </c>
      <c r="F162" s="33" t="n">
        <v>6</v>
      </c>
      <c r="G162" s="34" t="n">
        <v>60.5535</v>
      </c>
      <c r="H162" s="33" t="n">
        <v>69</v>
      </c>
      <c r="I162" s="34" t="n">
        <f aca="false">G162*((100-H162)/100)</f>
        <v>18.771585</v>
      </c>
      <c r="J162" s="35"/>
      <c r="K162" s="36" t="n">
        <f aca="false">+F162*J162</f>
        <v>0</v>
      </c>
      <c r="L162" s="37" t="n">
        <f aca="false">I162*K162</f>
        <v>0</v>
      </c>
    </row>
    <row r="163" customFormat="false" ht="15" hidden="false" customHeight="false" outlineLevel="0" collapsed="false">
      <c r="A163" s="44" t="s">
        <v>342</v>
      </c>
      <c r="B163" s="32" t="s">
        <v>23</v>
      </c>
      <c r="C163" s="32" t="s">
        <v>343</v>
      </c>
      <c r="D163" s="32" t="s">
        <v>62</v>
      </c>
      <c r="E163" s="33" t="n">
        <v>8430942007416</v>
      </c>
      <c r="F163" s="33" t="n">
        <v>6</v>
      </c>
      <c r="G163" s="34" t="n">
        <v>63.525</v>
      </c>
      <c r="H163" s="33" t="n">
        <v>69</v>
      </c>
      <c r="I163" s="34" t="n">
        <f aca="false">G163*((100-H163)/100)</f>
        <v>19.69275</v>
      </c>
      <c r="J163" s="35"/>
      <c r="K163" s="36" t="n">
        <f aca="false">+F163*J163</f>
        <v>0</v>
      </c>
      <c r="L163" s="37" t="n">
        <f aca="false">I163*K163</f>
        <v>0</v>
      </c>
    </row>
    <row r="164" customFormat="false" ht="15" hidden="false" customHeight="false" outlineLevel="0" collapsed="false">
      <c r="A164" s="44" t="s">
        <v>344</v>
      </c>
      <c r="B164" s="32" t="s">
        <v>23</v>
      </c>
      <c r="C164" s="32" t="s">
        <v>345</v>
      </c>
      <c r="D164" s="32" t="s">
        <v>62</v>
      </c>
      <c r="E164" s="33" t="n">
        <v>8430942007423</v>
      </c>
      <c r="F164" s="33" t="n">
        <v>6</v>
      </c>
      <c r="G164" s="34" t="n">
        <v>66.1815</v>
      </c>
      <c r="H164" s="33" t="n">
        <v>69</v>
      </c>
      <c r="I164" s="34" t="n">
        <f aca="false">G164*((100-H164)/100)</f>
        <v>20.516265</v>
      </c>
      <c r="J164" s="35"/>
      <c r="K164" s="36" t="n">
        <f aca="false">+F164*J164</f>
        <v>0</v>
      </c>
      <c r="L164" s="37" t="n">
        <f aca="false">I164*K164</f>
        <v>0</v>
      </c>
    </row>
    <row r="165" customFormat="false" ht="15" hidden="false" customHeight="false" outlineLevel="0" collapsed="false">
      <c r="A165" s="44" t="s">
        <v>346</v>
      </c>
      <c r="B165" s="32" t="s">
        <v>23</v>
      </c>
      <c r="C165" s="32" t="s">
        <v>347</v>
      </c>
      <c r="D165" s="32" t="s">
        <v>62</v>
      </c>
      <c r="E165" s="33" t="n">
        <v>8430942007430</v>
      </c>
      <c r="F165" s="33" t="n">
        <v>4</v>
      </c>
      <c r="G165" s="34" t="n">
        <v>71.93</v>
      </c>
      <c r="H165" s="33" t="n">
        <v>69</v>
      </c>
      <c r="I165" s="34" t="n">
        <f aca="false">G165*((100-H165)/100)</f>
        <v>22.2983</v>
      </c>
      <c r="J165" s="35"/>
      <c r="K165" s="36" t="n">
        <f aca="false">+F165*J165</f>
        <v>0</v>
      </c>
      <c r="L165" s="37" t="n">
        <f aca="false">I165*K165</f>
        <v>0</v>
      </c>
    </row>
    <row r="166" customFormat="false" ht="15" hidden="false" customHeight="false" outlineLevel="0" collapsed="false">
      <c r="A166" s="44" t="s">
        <v>348</v>
      </c>
      <c r="B166" s="32" t="s">
        <v>23</v>
      </c>
      <c r="C166" s="32" t="s">
        <v>349</v>
      </c>
      <c r="D166" s="32" t="s">
        <v>100</v>
      </c>
      <c r="E166" s="33" t="n">
        <v>8430942017569</v>
      </c>
      <c r="F166" s="33" t="n">
        <v>6</v>
      </c>
      <c r="G166" s="34" t="n">
        <v>45.0765</v>
      </c>
      <c r="H166" s="33" t="n">
        <v>69</v>
      </c>
      <c r="I166" s="34" t="n">
        <f aca="false">G166*((100-H166)/100)</f>
        <v>13.973715</v>
      </c>
      <c r="J166" s="35"/>
      <c r="K166" s="36" t="n">
        <f aca="false">+F166*J166</f>
        <v>0</v>
      </c>
      <c r="L166" s="37" t="n">
        <f aca="false">I166*K166</f>
        <v>0</v>
      </c>
    </row>
    <row r="167" customFormat="false" ht="15" hidden="false" customHeight="false" outlineLevel="0" collapsed="false">
      <c r="A167" s="44" t="s">
        <v>350</v>
      </c>
      <c r="B167" s="32" t="s">
        <v>23</v>
      </c>
      <c r="C167" s="32" t="s">
        <v>351</v>
      </c>
      <c r="D167" s="32" t="s">
        <v>100</v>
      </c>
      <c r="E167" s="33" t="n">
        <v>8430942038489</v>
      </c>
      <c r="F167" s="33" t="n">
        <v>4</v>
      </c>
      <c r="G167" s="34" t="n">
        <v>52.6995</v>
      </c>
      <c r="H167" s="33" t="n">
        <v>69</v>
      </c>
      <c r="I167" s="34" t="n">
        <f aca="false">G167*((100-H167)/100)</f>
        <v>16.336845</v>
      </c>
      <c r="J167" s="35"/>
      <c r="K167" s="36" t="n">
        <f aca="false">+F167*J167</f>
        <v>0</v>
      </c>
      <c r="L167" s="37" t="n">
        <f aca="false">I167*K167</f>
        <v>0</v>
      </c>
    </row>
    <row r="168" customFormat="false" ht="15" hidden="false" customHeight="false" outlineLevel="0" collapsed="false">
      <c r="A168" s="44" t="s">
        <v>352</v>
      </c>
      <c r="B168" s="32" t="s">
        <v>23</v>
      </c>
      <c r="C168" s="32" t="s">
        <v>353</v>
      </c>
      <c r="D168" s="32" t="s">
        <v>100</v>
      </c>
      <c r="E168" s="33" t="n">
        <v>8430942038496</v>
      </c>
      <c r="F168" s="33" t="n">
        <v>1</v>
      </c>
      <c r="G168" s="34" t="n">
        <v>62.664</v>
      </c>
      <c r="H168" s="33" t="n">
        <v>69</v>
      </c>
      <c r="I168" s="34" t="n">
        <f aca="false">G168*((100-H168)/100)</f>
        <v>19.42584</v>
      </c>
      <c r="J168" s="35"/>
      <c r="K168" s="36" t="n">
        <f aca="false">+F168*J168</f>
        <v>0</v>
      </c>
      <c r="L168" s="37" t="n">
        <f aca="false">I168*K168</f>
        <v>0</v>
      </c>
    </row>
    <row r="169" customFormat="false" ht="15" hidden="false" customHeight="false" outlineLevel="0" collapsed="false">
      <c r="A169" s="32" t="s">
        <v>354</v>
      </c>
      <c r="B169" s="32" t="s">
        <v>23</v>
      </c>
      <c r="C169" s="32" t="s">
        <v>355</v>
      </c>
      <c r="D169" s="32" t="s">
        <v>87</v>
      </c>
      <c r="E169" s="33" t="n">
        <v>8430942037116</v>
      </c>
      <c r="F169" s="33" t="n">
        <v>1</v>
      </c>
      <c r="G169" s="34" t="n">
        <v>49.896</v>
      </c>
      <c r="H169" s="33" t="n">
        <v>69</v>
      </c>
      <c r="I169" s="34" t="n">
        <f aca="false">G169*((100-H169)/100)</f>
        <v>15.46776</v>
      </c>
      <c r="J169" s="35"/>
      <c r="K169" s="36" t="n">
        <f aca="false">+F169*J169</f>
        <v>0</v>
      </c>
      <c r="L169" s="37" t="n">
        <f aca="false">I169*K169</f>
        <v>0</v>
      </c>
    </row>
    <row r="170" customFormat="false" ht="15" hidden="false" customHeight="false" outlineLevel="0" collapsed="false">
      <c r="A170" s="32" t="s">
        <v>356</v>
      </c>
      <c r="B170" s="32" t="s">
        <v>23</v>
      </c>
      <c r="C170" s="32" t="s">
        <v>357</v>
      </c>
      <c r="D170" s="32" t="s">
        <v>87</v>
      </c>
      <c r="E170" s="33" t="n">
        <v>8430942305239</v>
      </c>
      <c r="F170" s="33" t="n">
        <v>1</v>
      </c>
      <c r="G170" s="34" t="n">
        <v>52.374</v>
      </c>
      <c r="H170" s="33" t="n">
        <v>69</v>
      </c>
      <c r="I170" s="34" t="n">
        <f aca="false">G170*((100-H170)/100)</f>
        <v>16.23594</v>
      </c>
      <c r="J170" s="35"/>
      <c r="K170" s="36" t="n">
        <f aca="false">+F170*J170</f>
        <v>0</v>
      </c>
      <c r="L170" s="37" t="n">
        <f aca="false">I170*K170</f>
        <v>0</v>
      </c>
    </row>
    <row r="171" customFormat="false" ht="15" hidden="false" customHeight="false" outlineLevel="0" collapsed="false">
      <c r="A171" s="32" t="s">
        <v>358</v>
      </c>
      <c r="B171" s="32" t="s">
        <v>23</v>
      </c>
      <c r="C171" s="32" t="s">
        <v>359</v>
      </c>
      <c r="D171" s="32" t="s">
        <v>87</v>
      </c>
      <c r="E171" s="33" t="n">
        <v>8430942037123</v>
      </c>
      <c r="F171" s="33" t="n">
        <v>1</v>
      </c>
      <c r="G171" s="34" t="n">
        <v>52.374</v>
      </c>
      <c r="H171" s="33" t="n">
        <v>69</v>
      </c>
      <c r="I171" s="34" t="n">
        <f aca="false">G171*((100-H171)/100)</f>
        <v>16.23594</v>
      </c>
      <c r="J171" s="35"/>
      <c r="K171" s="36" t="n">
        <f aca="false">+F171*J171</f>
        <v>0</v>
      </c>
      <c r="L171" s="37" t="n">
        <f aca="false">I171*K171</f>
        <v>0</v>
      </c>
    </row>
    <row r="172" customFormat="false" ht="15" hidden="false" customHeight="false" outlineLevel="0" collapsed="false">
      <c r="A172" s="32" t="s">
        <v>360</v>
      </c>
      <c r="B172" s="32" t="s">
        <v>23</v>
      </c>
      <c r="C172" s="32" t="s">
        <v>361</v>
      </c>
      <c r="D172" s="32" t="s">
        <v>87</v>
      </c>
      <c r="E172" s="33" t="n">
        <v>8430942011239</v>
      </c>
      <c r="F172" s="33" t="n">
        <v>1</v>
      </c>
      <c r="G172" s="34" t="n">
        <v>52.374</v>
      </c>
      <c r="H172" s="33" t="n">
        <v>69</v>
      </c>
      <c r="I172" s="34" t="n">
        <f aca="false">G172*((100-H172)/100)</f>
        <v>16.23594</v>
      </c>
      <c r="J172" s="35"/>
      <c r="K172" s="36" t="n">
        <f aca="false">+F172*J172</f>
        <v>0</v>
      </c>
      <c r="L172" s="37" t="n">
        <f aca="false">I172*K172</f>
        <v>0</v>
      </c>
    </row>
    <row r="173" customFormat="false" ht="15" hidden="false" customHeight="false" outlineLevel="0" collapsed="false">
      <c r="A173" s="32" t="s">
        <v>362</v>
      </c>
      <c r="B173" s="32" t="s">
        <v>23</v>
      </c>
      <c r="C173" s="32" t="s">
        <v>363</v>
      </c>
      <c r="D173" s="32" t="s">
        <v>87</v>
      </c>
      <c r="E173" s="33" t="n">
        <v>8430942034931</v>
      </c>
      <c r="F173" s="33" t="n">
        <v>1</v>
      </c>
      <c r="G173" s="34" t="n">
        <v>56.1225</v>
      </c>
      <c r="H173" s="33" t="n">
        <v>69</v>
      </c>
      <c r="I173" s="34" t="n">
        <f aca="false">G173*((100-H173)/100)</f>
        <v>17.397975</v>
      </c>
      <c r="J173" s="35"/>
      <c r="K173" s="36" t="n">
        <f aca="false">+F173*J173</f>
        <v>0</v>
      </c>
      <c r="L173" s="37" t="n">
        <f aca="false">I173*K173</f>
        <v>0</v>
      </c>
    </row>
    <row r="174" customFormat="false" ht="15" hidden="false" customHeight="false" outlineLevel="0" collapsed="false">
      <c r="A174" s="32" t="s">
        <v>364</v>
      </c>
      <c r="B174" s="32" t="s">
        <v>23</v>
      </c>
      <c r="C174" s="32" t="s">
        <v>365</v>
      </c>
      <c r="D174" s="32" t="s">
        <v>87</v>
      </c>
      <c r="E174" s="33" t="n">
        <v>8430942034948</v>
      </c>
      <c r="F174" s="33" t="n">
        <v>1</v>
      </c>
      <c r="G174" s="34" t="n">
        <v>63.924</v>
      </c>
      <c r="H174" s="33" t="n">
        <v>69</v>
      </c>
      <c r="I174" s="34" t="n">
        <f aca="false">G174*((100-H174)/100)</f>
        <v>19.81644</v>
      </c>
      <c r="J174" s="35"/>
      <c r="K174" s="36" t="n">
        <f aca="false">+F174*J174</f>
        <v>0</v>
      </c>
      <c r="L174" s="37" t="n">
        <f aca="false">I174*K174</f>
        <v>0</v>
      </c>
    </row>
    <row r="175" customFormat="false" ht="15" hidden="false" customHeight="false" outlineLevel="0" collapsed="false">
      <c r="A175" s="32" t="s">
        <v>366</v>
      </c>
      <c r="B175" s="32" t="s">
        <v>23</v>
      </c>
      <c r="C175" s="32" t="s">
        <v>367</v>
      </c>
      <c r="D175" s="32" t="s">
        <v>87</v>
      </c>
      <c r="E175" s="33" t="n">
        <v>8430942307295</v>
      </c>
      <c r="F175" s="33" t="n">
        <v>1</v>
      </c>
      <c r="G175" s="34" t="n">
        <v>71.715</v>
      </c>
      <c r="H175" s="33" t="n">
        <v>69</v>
      </c>
      <c r="I175" s="34" t="n">
        <f aca="false">G175*((100-H175)/100)</f>
        <v>22.23165</v>
      </c>
      <c r="J175" s="35"/>
      <c r="K175" s="36" t="n">
        <f aca="false">+F175*J175</f>
        <v>0</v>
      </c>
      <c r="L175" s="37" t="n">
        <f aca="false">I175*K175</f>
        <v>0</v>
      </c>
    </row>
    <row r="176" customFormat="false" ht="15" hidden="false" customHeight="false" outlineLevel="0" collapsed="false">
      <c r="A176" s="32" t="s">
        <v>368</v>
      </c>
      <c r="B176" s="32" t="s">
        <v>23</v>
      </c>
      <c r="C176" s="32" t="s">
        <v>369</v>
      </c>
      <c r="D176" s="32" t="s">
        <v>87</v>
      </c>
      <c r="E176" s="33" t="n">
        <v>8430942034955</v>
      </c>
      <c r="F176" s="33" t="n">
        <v>1</v>
      </c>
      <c r="G176" s="34" t="n">
        <v>71.715</v>
      </c>
      <c r="H176" s="33" t="n">
        <v>69</v>
      </c>
      <c r="I176" s="34" t="n">
        <f aca="false">G176*((100-H176)/100)</f>
        <v>22.23165</v>
      </c>
      <c r="J176" s="35"/>
      <c r="K176" s="36" t="n">
        <f aca="false">+F176*J176</f>
        <v>0</v>
      </c>
      <c r="L176" s="37" t="n">
        <f aca="false">I176*K176</f>
        <v>0</v>
      </c>
    </row>
    <row r="177" customFormat="false" ht="15" hidden="false" customHeight="false" outlineLevel="0" collapsed="false">
      <c r="A177" s="32" t="s">
        <v>370</v>
      </c>
      <c r="B177" s="32" t="s">
        <v>23</v>
      </c>
      <c r="C177" s="32" t="s">
        <v>371</v>
      </c>
      <c r="D177" s="32" t="s">
        <v>87</v>
      </c>
      <c r="E177" s="33" t="n">
        <v>8430942034962</v>
      </c>
      <c r="F177" s="33" t="n">
        <v>1</v>
      </c>
      <c r="G177" s="34" t="n">
        <v>77.952</v>
      </c>
      <c r="H177" s="33" t="n">
        <v>69</v>
      </c>
      <c r="I177" s="34" t="n">
        <f aca="false">G177*((100-H177)/100)</f>
        <v>24.16512</v>
      </c>
      <c r="J177" s="35"/>
      <c r="K177" s="36" t="n">
        <f aca="false">+F177*J177</f>
        <v>0</v>
      </c>
      <c r="L177" s="37" t="n">
        <f aca="false">I177*K177</f>
        <v>0</v>
      </c>
    </row>
    <row r="178" customFormat="false" ht="15" hidden="false" customHeight="false" outlineLevel="0" collapsed="false">
      <c r="A178" s="32" t="s">
        <v>372</v>
      </c>
      <c r="B178" s="32" t="s">
        <v>23</v>
      </c>
      <c r="C178" s="32" t="s">
        <v>373</v>
      </c>
      <c r="D178" s="32" t="s">
        <v>87</v>
      </c>
      <c r="E178" s="33" t="n">
        <v>8430942034979</v>
      </c>
      <c r="F178" s="33" t="n">
        <v>1</v>
      </c>
      <c r="G178" s="34" t="n">
        <v>87.3075</v>
      </c>
      <c r="H178" s="33" t="n">
        <v>69</v>
      </c>
      <c r="I178" s="34" t="n">
        <f aca="false">G178*((100-H178)/100)</f>
        <v>27.065325</v>
      </c>
      <c r="J178" s="35"/>
      <c r="K178" s="36" t="n">
        <f aca="false">+F178*J178</f>
        <v>0</v>
      </c>
      <c r="L178" s="37" t="n">
        <f aca="false">I178*K178</f>
        <v>0</v>
      </c>
    </row>
    <row r="179" customFormat="false" ht="15" hidden="false" customHeight="false" outlineLevel="0" collapsed="false">
      <c r="A179" s="32" t="s">
        <v>374</v>
      </c>
      <c r="B179" s="32" t="s">
        <v>23</v>
      </c>
      <c r="C179" s="32" t="s">
        <v>375</v>
      </c>
      <c r="D179" s="32" t="s">
        <v>126</v>
      </c>
      <c r="E179" s="33" t="n">
        <v>8430942007713</v>
      </c>
      <c r="F179" s="33" t="n">
        <v>4</v>
      </c>
      <c r="G179" s="34" t="n">
        <v>35.7525</v>
      </c>
      <c r="H179" s="33" t="n">
        <v>69</v>
      </c>
      <c r="I179" s="34" t="n">
        <f aca="false">G179*((100-H179)/100)</f>
        <v>11.083275</v>
      </c>
      <c r="J179" s="35"/>
      <c r="K179" s="36" t="n">
        <f aca="false">+F179*J179</f>
        <v>0</v>
      </c>
      <c r="L179" s="37" t="n">
        <f aca="false">I179*K179</f>
        <v>0</v>
      </c>
    </row>
    <row r="180" customFormat="false" ht="15" hidden="false" customHeight="false" outlineLevel="0" collapsed="false">
      <c r="A180" s="32" t="s">
        <v>376</v>
      </c>
      <c r="B180" s="32" t="s">
        <v>23</v>
      </c>
      <c r="C180" s="32" t="s">
        <v>377</v>
      </c>
      <c r="D180" s="32" t="s">
        <v>126</v>
      </c>
      <c r="E180" s="33" t="n">
        <v>8430942007690</v>
      </c>
      <c r="F180" s="33" t="n">
        <v>4</v>
      </c>
      <c r="G180" s="34" t="n">
        <v>35.7525</v>
      </c>
      <c r="H180" s="33" t="n">
        <v>69</v>
      </c>
      <c r="I180" s="34" t="n">
        <f aca="false">G180*((100-H180)/100)</f>
        <v>11.083275</v>
      </c>
      <c r="J180" s="35"/>
      <c r="K180" s="36" t="n">
        <f aca="false">+F180*J180</f>
        <v>0</v>
      </c>
      <c r="L180" s="37" t="n">
        <f aca="false">I180*K180</f>
        <v>0</v>
      </c>
    </row>
    <row r="181" customFormat="false" ht="15" hidden="false" customHeight="false" outlineLevel="0" collapsed="false">
      <c r="A181" s="32" t="s">
        <v>378</v>
      </c>
      <c r="B181" s="32" t="s">
        <v>23</v>
      </c>
      <c r="C181" s="32" t="s">
        <v>379</v>
      </c>
      <c r="D181" s="32" t="s">
        <v>126</v>
      </c>
      <c r="E181" s="33" t="n">
        <v>8430942007683</v>
      </c>
      <c r="F181" s="33" t="n">
        <v>4</v>
      </c>
      <c r="G181" s="34" t="n">
        <v>44.31</v>
      </c>
      <c r="H181" s="33" t="n">
        <v>69</v>
      </c>
      <c r="I181" s="34" t="n">
        <f aca="false">G181*((100-H181)/100)</f>
        <v>13.7361</v>
      </c>
      <c r="J181" s="35"/>
      <c r="K181" s="36" t="n">
        <f aca="false">+F181*J181</f>
        <v>0</v>
      </c>
      <c r="L181" s="37" t="n">
        <f aca="false">I181*K181</f>
        <v>0</v>
      </c>
    </row>
    <row r="182" customFormat="false" ht="15" hidden="false" customHeight="false" outlineLevel="0" collapsed="false">
      <c r="A182" s="32" t="s">
        <v>380</v>
      </c>
      <c r="B182" s="32" t="s">
        <v>23</v>
      </c>
      <c r="C182" s="32" t="s">
        <v>381</v>
      </c>
      <c r="D182" s="32" t="s">
        <v>126</v>
      </c>
      <c r="E182" s="33" t="n">
        <v>8430942007706</v>
      </c>
      <c r="F182" s="33" t="n">
        <v>4</v>
      </c>
      <c r="G182" s="34" t="n">
        <v>44.31</v>
      </c>
      <c r="H182" s="33" t="n">
        <v>69</v>
      </c>
      <c r="I182" s="34" t="n">
        <f aca="false">G182*((100-H182)/100)</f>
        <v>13.7361</v>
      </c>
      <c r="J182" s="35"/>
      <c r="K182" s="36" t="n">
        <f aca="false">+F182*J182</f>
        <v>0</v>
      </c>
      <c r="L182" s="37" t="n">
        <f aca="false">I182*K182</f>
        <v>0</v>
      </c>
    </row>
    <row r="183" customFormat="false" ht="15" hidden="false" customHeight="false" outlineLevel="0" collapsed="false">
      <c r="A183" s="32" t="s">
        <v>382</v>
      </c>
      <c r="B183" s="32" t="s">
        <v>23</v>
      </c>
      <c r="C183" s="32" t="s">
        <v>383</v>
      </c>
      <c r="D183" s="32" t="s">
        <v>126</v>
      </c>
      <c r="E183" s="33" t="n">
        <v>8430942016814</v>
      </c>
      <c r="F183" s="33" t="n">
        <v>4</v>
      </c>
      <c r="G183" s="34" t="n">
        <v>44.4465</v>
      </c>
      <c r="H183" s="33" t="n">
        <v>69</v>
      </c>
      <c r="I183" s="34" t="n">
        <f aca="false">G183*((100-H183)/100)</f>
        <v>13.778415</v>
      </c>
      <c r="J183" s="35"/>
      <c r="K183" s="36" t="n">
        <f aca="false">+F183*J183</f>
        <v>0</v>
      </c>
      <c r="L183" s="37" t="n">
        <f aca="false">I183*K183</f>
        <v>0</v>
      </c>
    </row>
    <row r="184" customFormat="false" ht="15" hidden="false" customHeight="false" outlineLevel="0" collapsed="false">
      <c r="A184" s="32" t="s">
        <v>384</v>
      </c>
      <c r="B184" s="32" t="s">
        <v>23</v>
      </c>
      <c r="C184" s="32" t="s">
        <v>385</v>
      </c>
      <c r="D184" s="32" t="s">
        <v>126</v>
      </c>
      <c r="E184" s="33" t="n">
        <v>8430942007744</v>
      </c>
      <c r="F184" s="33" t="n">
        <v>2</v>
      </c>
      <c r="G184" s="34" t="n">
        <v>44.4465</v>
      </c>
      <c r="H184" s="33" t="n">
        <v>69</v>
      </c>
      <c r="I184" s="34" t="n">
        <f aca="false">G184*((100-H184)/100)</f>
        <v>13.778415</v>
      </c>
      <c r="J184" s="35"/>
      <c r="K184" s="36" t="n">
        <f aca="false">+F184*J184</f>
        <v>0</v>
      </c>
      <c r="L184" s="37" t="n">
        <f aca="false">I184*K184</f>
        <v>0</v>
      </c>
    </row>
    <row r="185" customFormat="false" ht="15" hidden="false" customHeight="false" outlineLevel="0" collapsed="false">
      <c r="A185" s="32" t="s">
        <v>386</v>
      </c>
      <c r="B185" s="32" t="s">
        <v>23</v>
      </c>
      <c r="C185" s="32" t="s">
        <v>387</v>
      </c>
      <c r="D185" s="32" t="s">
        <v>126</v>
      </c>
      <c r="E185" s="33" t="n">
        <v>8430942016845</v>
      </c>
      <c r="F185" s="33" t="n">
        <v>2</v>
      </c>
      <c r="G185" s="34" t="n">
        <v>53.3085</v>
      </c>
      <c r="H185" s="33" t="n">
        <v>69</v>
      </c>
      <c r="I185" s="34" t="n">
        <f aca="false">G185*((100-H185)/100)</f>
        <v>16.525635</v>
      </c>
      <c r="J185" s="35"/>
      <c r="K185" s="36" t="n">
        <f aca="false">+F185*J185</f>
        <v>0</v>
      </c>
      <c r="L185" s="37" t="n">
        <f aca="false">I185*K185</f>
        <v>0</v>
      </c>
    </row>
    <row r="186" customFormat="false" ht="15" hidden="false" customHeight="false" outlineLevel="0" collapsed="false">
      <c r="A186" s="32" t="s">
        <v>388</v>
      </c>
      <c r="B186" s="32" t="s">
        <v>23</v>
      </c>
      <c r="C186" s="32" t="s">
        <v>389</v>
      </c>
      <c r="D186" s="32" t="s">
        <v>126</v>
      </c>
      <c r="E186" s="33" t="n">
        <v>8430942007751</v>
      </c>
      <c r="F186" s="33" t="n">
        <v>2</v>
      </c>
      <c r="G186" s="34" t="n">
        <v>53.3085</v>
      </c>
      <c r="H186" s="33" t="n">
        <v>69</v>
      </c>
      <c r="I186" s="34" t="n">
        <f aca="false">G186*((100-H186)/100)</f>
        <v>16.525635</v>
      </c>
      <c r="J186" s="35"/>
      <c r="K186" s="36" t="n">
        <f aca="false">+F186*J186</f>
        <v>0</v>
      </c>
      <c r="L186" s="37" t="n">
        <f aca="false">I186*K186</f>
        <v>0</v>
      </c>
    </row>
    <row r="187" customFormat="false" ht="15" hidden="false" customHeight="false" outlineLevel="0" collapsed="false">
      <c r="A187" s="32" t="s">
        <v>390</v>
      </c>
      <c r="B187" s="32" t="s">
        <v>23</v>
      </c>
      <c r="C187" s="32" t="s">
        <v>391</v>
      </c>
      <c r="D187" s="32" t="s">
        <v>126</v>
      </c>
      <c r="E187" s="33" t="n">
        <v>8430942016869</v>
      </c>
      <c r="F187" s="33" t="n">
        <v>4</v>
      </c>
      <c r="G187" s="34" t="n">
        <v>44.856</v>
      </c>
      <c r="H187" s="33" t="n">
        <v>69</v>
      </c>
      <c r="I187" s="34" t="n">
        <f aca="false">G187*((100-H187)/100)</f>
        <v>13.90536</v>
      </c>
      <c r="J187" s="35"/>
      <c r="K187" s="36" t="n">
        <f aca="false">+F187*J187</f>
        <v>0</v>
      </c>
      <c r="L187" s="37" t="n">
        <f aca="false">I187*K187</f>
        <v>0</v>
      </c>
    </row>
    <row r="188" customFormat="false" ht="15" hidden="false" customHeight="false" outlineLevel="0" collapsed="false">
      <c r="A188" s="32" t="s">
        <v>392</v>
      </c>
      <c r="B188" s="32" t="s">
        <v>23</v>
      </c>
      <c r="C188" s="32" t="s">
        <v>393</v>
      </c>
      <c r="D188" s="32" t="s">
        <v>126</v>
      </c>
      <c r="E188" s="33" t="n">
        <v>8430942007775</v>
      </c>
      <c r="F188" s="33" t="n">
        <v>2</v>
      </c>
      <c r="G188" s="34" t="n">
        <v>44.856</v>
      </c>
      <c r="H188" s="33" t="n">
        <v>69</v>
      </c>
      <c r="I188" s="34" t="n">
        <f aca="false">G188*((100-H188)/100)</f>
        <v>13.90536</v>
      </c>
      <c r="J188" s="35"/>
      <c r="K188" s="36" t="n">
        <f aca="false">+F188*J188</f>
        <v>0</v>
      </c>
      <c r="L188" s="37" t="n">
        <f aca="false">I188*K188</f>
        <v>0</v>
      </c>
    </row>
    <row r="189" customFormat="false" ht="15" hidden="false" customHeight="false" outlineLevel="0" collapsed="false">
      <c r="A189" s="32" t="s">
        <v>394</v>
      </c>
      <c r="B189" s="32" t="s">
        <v>23</v>
      </c>
      <c r="C189" s="32" t="s">
        <v>395</v>
      </c>
      <c r="D189" s="32" t="s">
        <v>126</v>
      </c>
      <c r="E189" s="33" t="n">
        <v>8430942016883</v>
      </c>
      <c r="F189" s="33" t="n">
        <v>2</v>
      </c>
      <c r="G189" s="34" t="n">
        <v>54.894</v>
      </c>
      <c r="H189" s="33" t="n">
        <v>69</v>
      </c>
      <c r="I189" s="34" t="n">
        <f aca="false">G189*((100-H189)/100)</f>
        <v>17.01714</v>
      </c>
      <c r="J189" s="35"/>
      <c r="K189" s="36" t="n">
        <f aca="false">+F189*J189</f>
        <v>0</v>
      </c>
      <c r="L189" s="37" t="n">
        <f aca="false">I189*K189</f>
        <v>0</v>
      </c>
    </row>
    <row r="190" customFormat="false" ht="15" hidden="false" customHeight="false" outlineLevel="0" collapsed="false">
      <c r="A190" s="32" t="s">
        <v>396</v>
      </c>
      <c r="B190" s="32" t="s">
        <v>23</v>
      </c>
      <c r="C190" s="32" t="s">
        <v>397</v>
      </c>
      <c r="D190" s="32" t="s">
        <v>126</v>
      </c>
      <c r="E190" s="33" t="n">
        <v>8430942007768</v>
      </c>
      <c r="F190" s="33" t="n">
        <v>2</v>
      </c>
      <c r="G190" s="34" t="n">
        <v>54.894</v>
      </c>
      <c r="H190" s="33" t="n">
        <v>69</v>
      </c>
      <c r="I190" s="34" t="n">
        <f aca="false">G190*((100-H190)/100)</f>
        <v>17.01714</v>
      </c>
      <c r="J190" s="35"/>
      <c r="K190" s="36" t="n">
        <f aca="false">+F190*J190</f>
        <v>0</v>
      </c>
      <c r="L190" s="37" t="n">
        <f aca="false">I190*K190</f>
        <v>0</v>
      </c>
    </row>
    <row r="191" customFormat="false" ht="15" hidden="false" customHeight="false" outlineLevel="0" collapsed="false">
      <c r="A191" s="32" t="s">
        <v>398</v>
      </c>
      <c r="B191" s="32" t="s">
        <v>23</v>
      </c>
      <c r="C191" s="32" t="s">
        <v>399</v>
      </c>
      <c r="D191" s="32" t="s">
        <v>126</v>
      </c>
      <c r="E191" s="33" t="n">
        <v>8430942029975</v>
      </c>
      <c r="F191" s="33" t="n">
        <v>2</v>
      </c>
      <c r="G191" s="34" t="n">
        <v>44.856</v>
      </c>
      <c r="H191" s="33" t="n">
        <v>69</v>
      </c>
      <c r="I191" s="34" t="n">
        <f aca="false">G191*((100-H191)/100)</f>
        <v>13.90536</v>
      </c>
      <c r="J191" s="35"/>
      <c r="K191" s="36" t="n">
        <f aca="false">+F191*J191</f>
        <v>0</v>
      </c>
      <c r="L191" s="37" t="n">
        <f aca="false">I191*K191</f>
        <v>0</v>
      </c>
    </row>
    <row r="192" customFormat="false" ht="15" hidden="false" customHeight="false" outlineLevel="0" collapsed="false">
      <c r="A192" s="32" t="s">
        <v>400</v>
      </c>
      <c r="B192" s="32" t="s">
        <v>23</v>
      </c>
      <c r="C192" s="32" t="s">
        <v>401</v>
      </c>
      <c r="D192" s="32" t="s">
        <v>126</v>
      </c>
      <c r="E192" s="33" t="n">
        <v>8430942007812</v>
      </c>
      <c r="F192" s="33" t="n">
        <v>2</v>
      </c>
      <c r="G192" s="34" t="n">
        <v>44.856</v>
      </c>
      <c r="H192" s="33" t="n">
        <v>69</v>
      </c>
      <c r="I192" s="34" t="n">
        <f aca="false">G192*((100-H192)/100)</f>
        <v>13.90536</v>
      </c>
      <c r="J192" s="35"/>
      <c r="K192" s="36" t="n">
        <f aca="false">+F192*J192</f>
        <v>0</v>
      </c>
      <c r="L192" s="37" t="n">
        <f aca="false">I192*K192</f>
        <v>0</v>
      </c>
    </row>
    <row r="193" customFormat="false" ht="15" hidden="false" customHeight="false" outlineLevel="0" collapsed="false">
      <c r="A193" s="32" t="s">
        <v>402</v>
      </c>
      <c r="B193" s="32" t="s">
        <v>23</v>
      </c>
      <c r="C193" s="32" t="s">
        <v>403</v>
      </c>
      <c r="D193" s="32" t="s">
        <v>126</v>
      </c>
      <c r="E193" s="33" t="n">
        <v>8430942007805</v>
      </c>
      <c r="F193" s="33" t="n">
        <v>2</v>
      </c>
      <c r="G193" s="34" t="n">
        <v>56.196</v>
      </c>
      <c r="H193" s="33" t="n">
        <v>69</v>
      </c>
      <c r="I193" s="34" t="n">
        <f aca="false">G193*((100-H193)/100)</f>
        <v>17.42076</v>
      </c>
      <c r="J193" s="35"/>
      <c r="K193" s="36" t="n">
        <f aca="false">+F193*J193</f>
        <v>0</v>
      </c>
      <c r="L193" s="37" t="n">
        <f aca="false">I193*K193</f>
        <v>0</v>
      </c>
    </row>
    <row r="194" customFormat="false" ht="15" hidden="false" customHeight="false" outlineLevel="0" collapsed="false">
      <c r="A194" s="38" t="s">
        <v>404</v>
      </c>
      <c r="B194" s="38" t="n">
        <v>102064</v>
      </c>
      <c r="C194" s="38" t="s">
        <v>405</v>
      </c>
      <c r="D194" s="38" t="s">
        <v>126</v>
      </c>
      <c r="E194" s="39" t="n">
        <v>8430942007829</v>
      </c>
      <c r="F194" s="39" t="n">
        <v>2</v>
      </c>
      <c r="G194" s="40" t="n">
        <v>56.196</v>
      </c>
      <c r="H194" s="39" t="n">
        <v>69</v>
      </c>
      <c r="I194" s="40" t="n">
        <f aca="false">G194*((100-H194)/100)</f>
        <v>17.42076</v>
      </c>
      <c r="J194" s="41"/>
      <c r="K194" s="42" t="n">
        <f aca="false">+F194*J194</f>
        <v>0</v>
      </c>
      <c r="L194" s="43" t="n">
        <f aca="false">I194*K194</f>
        <v>0</v>
      </c>
    </row>
    <row r="195" customFormat="false" ht="15" hidden="false" customHeight="false" outlineLevel="0" collapsed="false">
      <c r="A195" s="32" t="s">
        <v>406</v>
      </c>
      <c r="B195" s="32" t="s">
        <v>23</v>
      </c>
      <c r="C195" s="32" t="s">
        <v>407</v>
      </c>
      <c r="D195" s="32" t="s">
        <v>126</v>
      </c>
      <c r="E195" s="33" t="n">
        <v>8430942016951</v>
      </c>
      <c r="F195" s="33" t="n">
        <v>1</v>
      </c>
      <c r="G195" s="34" t="n">
        <v>75.516</v>
      </c>
      <c r="H195" s="33" t="n">
        <v>69</v>
      </c>
      <c r="I195" s="34" t="n">
        <f aca="false">G195*((100-H195)/100)</f>
        <v>23.40996</v>
      </c>
      <c r="J195" s="35"/>
      <c r="K195" s="36" t="n">
        <f aca="false">+F195*J195</f>
        <v>0</v>
      </c>
      <c r="L195" s="37" t="n">
        <f aca="false">I195*K195</f>
        <v>0</v>
      </c>
    </row>
    <row r="196" customFormat="false" ht="15" hidden="false" customHeight="false" outlineLevel="0" collapsed="false">
      <c r="A196" s="32" t="s">
        <v>408</v>
      </c>
      <c r="B196" s="32" t="s">
        <v>23</v>
      </c>
      <c r="C196" s="32" t="s">
        <v>409</v>
      </c>
      <c r="D196" s="32" t="s">
        <v>126</v>
      </c>
      <c r="E196" s="33" t="n">
        <v>8430942007867</v>
      </c>
      <c r="F196" s="33" t="n">
        <v>1</v>
      </c>
      <c r="G196" s="34" t="n">
        <v>77.574</v>
      </c>
      <c r="H196" s="33" t="n">
        <v>69</v>
      </c>
      <c r="I196" s="34" t="n">
        <f aca="false">G196*((100-H196)/100)</f>
        <v>24.04794</v>
      </c>
      <c r="J196" s="35"/>
      <c r="K196" s="36" t="n">
        <f aca="false">+F196*J196</f>
        <v>0</v>
      </c>
      <c r="L196" s="37" t="n">
        <f aca="false">I196*K196</f>
        <v>0</v>
      </c>
    </row>
    <row r="197" customFormat="false" ht="15" hidden="false" customHeight="false" outlineLevel="0" collapsed="false">
      <c r="A197" s="32" t="s">
        <v>410</v>
      </c>
      <c r="B197" s="32" t="s">
        <v>23</v>
      </c>
      <c r="C197" s="32" t="s">
        <v>411</v>
      </c>
      <c r="D197" s="32" t="s">
        <v>126</v>
      </c>
      <c r="E197" s="33" t="n">
        <v>8430942328016</v>
      </c>
      <c r="F197" s="33" t="n">
        <v>1</v>
      </c>
      <c r="G197" s="34" t="n">
        <v>115.899</v>
      </c>
      <c r="H197" s="33" t="n">
        <v>69</v>
      </c>
      <c r="I197" s="34" t="n">
        <f aca="false">G197*((100-H197)/100)</f>
        <v>35.92869</v>
      </c>
      <c r="J197" s="35"/>
      <c r="K197" s="36" t="n">
        <f aca="false">+F197*J197</f>
        <v>0</v>
      </c>
      <c r="L197" s="37" t="n">
        <f aca="false">I197*K197</f>
        <v>0</v>
      </c>
    </row>
    <row r="198" customFormat="false" ht="15" hidden="false" customHeight="false" outlineLevel="0" collapsed="false">
      <c r="A198" s="32" t="s">
        <v>412</v>
      </c>
      <c r="B198" s="32" t="s">
        <v>23</v>
      </c>
      <c r="C198" s="32" t="s">
        <v>413</v>
      </c>
      <c r="D198" s="32" t="s">
        <v>126</v>
      </c>
      <c r="E198" s="33" t="n">
        <v>8430942007850</v>
      </c>
      <c r="F198" s="33" t="n">
        <v>1</v>
      </c>
      <c r="G198" s="34" t="n">
        <v>122.85</v>
      </c>
      <c r="H198" s="33" t="n">
        <v>69</v>
      </c>
      <c r="I198" s="34" t="n">
        <f aca="false">G198*((100-H198)/100)</f>
        <v>38.0835</v>
      </c>
      <c r="J198" s="35"/>
      <c r="K198" s="36" t="n">
        <f aca="false">+F198*J198</f>
        <v>0</v>
      </c>
      <c r="L198" s="37" t="n">
        <f aca="false">I198*K198</f>
        <v>0</v>
      </c>
    </row>
    <row r="199" customFormat="false" ht="15" hidden="false" customHeight="false" outlineLevel="0" collapsed="false">
      <c r="A199" s="32" t="s">
        <v>414</v>
      </c>
      <c r="B199" s="32" t="s">
        <v>23</v>
      </c>
      <c r="C199" s="32" t="s">
        <v>415</v>
      </c>
      <c r="D199" s="32" t="s">
        <v>126</v>
      </c>
      <c r="E199" s="33" t="n">
        <v>8430942016999</v>
      </c>
      <c r="F199" s="33" t="n">
        <v>1</v>
      </c>
      <c r="G199" s="34" t="n">
        <v>86.289</v>
      </c>
      <c r="H199" s="33" t="n">
        <v>69</v>
      </c>
      <c r="I199" s="34" t="n">
        <f aca="false">G199*((100-H199)/100)</f>
        <v>26.74959</v>
      </c>
      <c r="J199" s="35"/>
      <c r="K199" s="36" t="n">
        <f aca="false">+F199*J199</f>
        <v>0</v>
      </c>
      <c r="L199" s="37" t="n">
        <f aca="false">I199*K199</f>
        <v>0</v>
      </c>
    </row>
    <row r="200" customFormat="false" ht="15" hidden="false" customHeight="false" outlineLevel="0" collapsed="false">
      <c r="A200" s="32" t="s">
        <v>416</v>
      </c>
      <c r="B200" s="32" t="s">
        <v>23</v>
      </c>
      <c r="C200" s="32" t="s">
        <v>417</v>
      </c>
      <c r="D200" s="32" t="s">
        <v>126</v>
      </c>
      <c r="E200" s="33" t="n">
        <v>8430942007881</v>
      </c>
      <c r="F200" s="33" t="n">
        <v>1</v>
      </c>
      <c r="G200" s="34" t="n">
        <v>86.289</v>
      </c>
      <c r="H200" s="33" t="n">
        <v>69</v>
      </c>
      <c r="I200" s="34" t="n">
        <f aca="false">G200*((100-H200)/100)</f>
        <v>26.74959</v>
      </c>
      <c r="J200" s="35"/>
      <c r="K200" s="36" t="n">
        <f aca="false">+F200*J200</f>
        <v>0</v>
      </c>
      <c r="L200" s="37" t="n">
        <f aca="false">I200*K200</f>
        <v>0</v>
      </c>
    </row>
    <row r="201" customFormat="false" ht="15" hidden="false" customHeight="false" outlineLevel="0" collapsed="false">
      <c r="A201" s="32" t="s">
        <v>418</v>
      </c>
      <c r="B201" s="32" t="s">
        <v>23</v>
      </c>
      <c r="C201" s="32" t="s">
        <v>419</v>
      </c>
      <c r="D201" s="32" t="s">
        <v>126</v>
      </c>
      <c r="E201" s="33" t="n">
        <v>8430942017019</v>
      </c>
      <c r="F201" s="33" t="n">
        <v>1</v>
      </c>
      <c r="G201" s="34" t="n">
        <v>136.7205</v>
      </c>
      <c r="H201" s="33" t="n">
        <v>69</v>
      </c>
      <c r="I201" s="34" t="n">
        <f aca="false">G201*((100-H201)/100)</f>
        <v>42.383355</v>
      </c>
      <c r="J201" s="35"/>
      <c r="K201" s="36" t="n">
        <f aca="false">+F201*J201</f>
        <v>0</v>
      </c>
      <c r="L201" s="37" t="n">
        <f aca="false">I201*K201</f>
        <v>0</v>
      </c>
    </row>
    <row r="202" customFormat="false" ht="15" hidden="false" customHeight="false" outlineLevel="0" collapsed="false">
      <c r="A202" s="32" t="s">
        <v>420</v>
      </c>
      <c r="B202" s="32" t="s">
        <v>23</v>
      </c>
      <c r="C202" s="32" t="s">
        <v>421</v>
      </c>
      <c r="D202" s="32" t="s">
        <v>126</v>
      </c>
      <c r="E202" s="33" t="n">
        <v>8430942029982</v>
      </c>
      <c r="F202" s="33" t="n">
        <v>1</v>
      </c>
      <c r="G202" s="34" t="n">
        <v>136.7205</v>
      </c>
      <c r="H202" s="33" t="n">
        <v>69</v>
      </c>
      <c r="I202" s="34" t="n">
        <f aca="false">G202*((100-H202)/100)</f>
        <v>42.383355</v>
      </c>
      <c r="J202" s="35"/>
      <c r="K202" s="36" t="n">
        <f aca="false">+F202*J202</f>
        <v>0</v>
      </c>
      <c r="L202" s="37" t="n">
        <f aca="false">I202*K202</f>
        <v>0</v>
      </c>
    </row>
    <row r="203" customFormat="false" ht="15" hidden="false" customHeight="false" outlineLevel="0" collapsed="false">
      <c r="A203" s="32" t="s">
        <v>422</v>
      </c>
      <c r="B203" s="32" t="s">
        <v>23</v>
      </c>
      <c r="C203" s="32" t="s">
        <v>423</v>
      </c>
      <c r="D203" s="32" t="s">
        <v>424</v>
      </c>
      <c r="E203" s="33" t="n">
        <v>8430942007546</v>
      </c>
      <c r="F203" s="33" t="n">
        <v>4</v>
      </c>
      <c r="G203" s="34" t="n">
        <v>17.157</v>
      </c>
      <c r="H203" s="33" t="n">
        <v>69</v>
      </c>
      <c r="I203" s="34" t="n">
        <f aca="false">G203*((100-H203)/100)</f>
        <v>5.31867</v>
      </c>
      <c r="J203" s="35"/>
      <c r="K203" s="36" t="n">
        <f aca="false">+F203*J203</f>
        <v>0</v>
      </c>
      <c r="L203" s="37" t="n">
        <f aca="false">I203*K203</f>
        <v>0</v>
      </c>
    </row>
    <row r="204" customFormat="false" ht="15" hidden="false" customHeight="false" outlineLevel="0" collapsed="false">
      <c r="A204" s="38" t="s">
        <v>425</v>
      </c>
      <c r="B204" s="38" t="n">
        <v>102060</v>
      </c>
      <c r="C204" s="38" t="s">
        <v>426</v>
      </c>
      <c r="D204" s="38" t="s">
        <v>424</v>
      </c>
      <c r="E204" s="39" t="n">
        <v>8430942007539</v>
      </c>
      <c r="F204" s="39" t="n">
        <v>4</v>
      </c>
      <c r="G204" s="40" t="n">
        <v>17.157</v>
      </c>
      <c r="H204" s="39" t="n">
        <v>69</v>
      </c>
      <c r="I204" s="40" t="n">
        <f aca="false">G204*((100-H204)/100)</f>
        <v>5.31867</v>
      </c>
      <c r="J204" s="41"/>
      <c r="K204" s="42" t="n">
        <f aca="false">+F204*J204</f>
        <v>0</v>
      </c>
      <c r="L204" s="43" t="n">
        <f aca="false">I204*K204</f>
        <v>0</v>
      </c>
    </row>
    <row r="205" customFormat="false" ht="15" hidden="false" customHeight="false" outlineLevel="0" collapsed="false">
      <c r="A205" s="38" t="s">
        <v>427</v>
      </c>
      <c r="B205" s="38" t="n">
        <v>660579</v>
      </c>
      <c r="C205" s="38" t="s">
        <v>428</v>
      </c>
      <c r="D205" s="38" t="s">
        <v>424</v>
      </c>
      <c r="E205" s="39" t="n">
        <v>8430942007560</v>
      </c>
      <c r="F205" s="39" t="n">
        <v>4</v>
      </c>
      <c r="G205" s="40" t="n">
        <v>19.656</v>
      </c>
      <c r="H205" s="39" t="n">
        <v>69</v>
      </c>
      <c r="I205" s="40" t="n">
        <f aca="false">G205*((100-H205)/100)</f>
        <v>6.09336</v>
      </c>
      <c r="J205" s="41"/>
      <c r="K205" s="42" t="n">
        <f aca="false">+F205*J205</f>
        <v>0</v>
      </c>
      <c r="L205" s="43" t="n">
        <f aca="false">I205*K205</f>
        <v>0</v>
      </c>
    </row>
    <row r="206" customFormat="false" ht="15" hidden="false" customHeight="false" outlineLevel="0" collapsed="false">
      <c r="A206" s="38" t="s">
        <v>429</v>
      </c>
      <c r="B206" s="38" t="n">
        <v>104212</v>
      </c>
      <c r="C206" s="38" t="s">
        <v>430</v>
      </c>
      <c r="D206" s="38" t="s">
        <v>424</v>
      </c>
      <c r="E206" s="39" t="n">
        <v>8430942007553</v>
      </c>
      <c r="F206" s="39" t="n">
        <v>4</v>
      </c>
      <c r="G206" s="40" t="n">
        <v>19.656</v>
      </c>
      <c r="H206" s="39" t="n">
        <v>69</v>
      </c>
      <c r="I206" s="40" t="n">
        <f aca="false">G206*((100-H206)/100)</f>
        <v>6.09336</v>
      </c>
      <c r="J206" s="41"/>
      <c r="K206" s="42" t="n">
        <f aca="false">+F206*J206</f>
        <v>0</v>
      </c>
      <c r="L206" s="43" t="n">
        <f aca="false">I206*K206</f>
        <v>0</v>
      </c>
    </row>
    <row r="207" customFormat="false" ht="15" hidden="false" customHeight="false" outlineLevel="0" collapsed="false">
      <c r="A207" s="38" t="s">
        <v>431</v>
      </c>
      <c r="B207" s="38" t="n">
        <v>660580</v>
      </c>
      <c r="C207" s="38" t="s">
        <v>432</v>
      </c>
      <c r="D207" s="38" t="s">
        <v>424</v>
      </c>
      <c r="E207" s="39" t="n">
        <v>8430942007584</v>
      </c>
      <c r="F207" s="39" t="n">
        <v>4</v>
      </c>
      <c r="G207" s="40" t="n">
        <v>21.1785</v>
      </c>
      <c r="H207" s="39" t="n">
        <v>69</v>
      </c>
      <c r="I207" s="40" t="n">
        <f aca="false">G207*((100-H207)/100)</f>
        <v>6.565335</v>
      </c>
      <c r="J207" s="41"/>
      <c r="K207" s="42" t="n">
        <f aca="false">+F207*J207</f>
        <v>0</v>
      </c>
      <c r="L207" s="43" t="n">
        <f aca="false">I207*K207</f>
        <v>0</v>
      </c>
    </row>
    <row r="208" customFormat="false" ht="15" hidden="false" customHeight="false" outlineLevel="0" collapsed="false">
      <c r="A208" s="38" t="s">
        <v>433</v>
      </c>
      <c r="B208" s="38" t="n">
        <v>102061</v>
      </c>
      <c r="C208" s="38" t="s">
        <v>434</v>
      </c>
      <c r="D208" s="38" t="s">
        <v>424</v>
      </c>
      <c r="E208" s="39" t="n">
        <v>8430942007577</v>
      </c>
      <c r="F208" s="39" t="n">
        <v>4</v>
      </c>
      <c r="G208" s="40" t="n">
        <v>21.1785</v>
      </c>
      <c r="H208" s="39" t="n">
        <v>69</v>
      </c>
      <c r="I208" s="40" t="n">
        <f aca="false">G208*((100-H208)/100)</f>
        <v>6.565335</v>
      </c>
      <c r="J208" s="41"/>
      <c r="K208" s="42" t="n">
        <f aca="false">+F208*J208</f>
        <v>0</v>
      </c>
      <c r="L208" s="43" t="n">
        <f aca="false">I208*K208</f>
        <v>0</v>
      </c>
    </row>
    <row r="209" customFormat="false" ht="15" hidden="false" customHeight="false" outlineLevel="0" collapsed="false">
      <c r="A209" s="32" t="s">
        <v>435</v>
      </c>
      <c r="B209" s="32" t="s">
        <v>23</v>
      </c>
      <c r="C209" s="32" t="s">
        <v>436</v>
      </c>
      <c r="D209" s="32" t="s">
        <v>424</v>
      </c>
      <c r="E209" s="33" t="n">
        <v>8430942007614</v>
      </c>
      <c r="F209" s="33" t="n">
        <v>4</v>
      </c>
      <c r="G209" s="34" t="n">
        <v>22.7115</v>
      </c>
      <c r="H209" s="33" t="n">
        <v>69</v>
      </c>
      <c r="I209" s="34" t="n">
        <f aca="false">G209*((100-H209)/100)</f>
        <v>7.040565</v>
      </c>
      <c r="J209" s="35"/>
      <c r="K209" s="36" t="n">
        <f aca="false">+F209*J209</f>
        <v>0</v>
      </c>
      <c r="L209" s="37" t="n">
        <f aca="false">I209*K209</f>
        <v>0</v>
      </c>
    </row>
    <row r="210" customFormat="false" ht="15" hidden="false" customHeight="false" outlineLevel="0" collapsed="false">
      <c r="A210" s="32" t="s">
        <v>437</v>
      </c>
      <c r="B210" s="32" t="s">
        <v>23</v>
      </c>
      <c r="C210" s="32" t="s">
        <v>438</v>
      </c>
      <c r="D210" s="32" t="s">
        <v>424</v>
      </c>
      <c r="E210" s="33" t="n">
        <v>8430942007607</v>
      </c>
      <c r="F210" s="33" t="n">
        <v>4</v>
      </c>
      <c r="G210" s="34" t="n">
        <v>22.7115</v>
      </c>
      <c r="H210" s="33" t="n">
        <v>69</v>
      </c>
      <c r="I210" s="34" t="n">
        <f aca="false">G210*((100-H210)/100)</f>
        <v>7.040565</v>
      </c>
      <c r="J210" s="35"/>
      <c r="K210" s="36" t="n">
        <f aca="false">+F210*J210</f>
        <v>0</v>
      </c>
      <c r="L210" s="37" t="n">
        <f aca="false">I210*K210</f>
        <v>0</v>
      </c>
    </row>
    <row r="211" customFormat="false" ht="15" hidden="false" customHeight="false" outlineLevel="0" collapsed="false">
      <c r="A211" s="32" t="s">
        <v>439</v>
      </c>
      <c r="B211" s="32" t="s">
        <v>23</v>
      </c>
      <c r="C211" s="32" t="s">
        <v>440</v>
      </c>
      <c r="D211" s="32" t="s">
        <v>424</v>
      </c>
      <c r="E211" s="33" t="n">
        <v>8430942007669</v>
      </c>
      <c r="F211" s="33" t="n">
        <v>4</v>
      </c>
      <c r="G211" s="34" t="n">
        <v>26.46</v>
      </c>
      <c r="H211" s="33" t="n">
        <v>69</v>
      </c>
      <c r="I211" s="34" t="n">
        <f aca="false">G211*((100-H211)/100)</f>
        <v>8.2026</v>
      </c>
      <c r="J211" s="35"/>
      <c r="K211" s="36" t="n">
        <f aca="false">+F211*J211</f>
        <v>0</v>
      </c>
      <c r="L211" s="37" t="n">
        <f aca="false">I211*K211</f>
        <v>0</v>
      </c>
    </row>
    <row r="212" customFormat="false" ht="15" hidden="false" customHeight="false" outlineLevel="0" collapsed="false">
      <c r="A212" s="38" t="s">
        <v>441</v>
      </c>
      <c r="B212" s="38" t="n">
        <v>102063</v>
      </c>
      <c r="C212" s="38" t="s">
        <v>442</v>
      </c>
      <c r="D212" s="38" t="s">
        <v>424</v>
      </c>
      <c r="E212" s="39" t="n">
        <v>8430942007652</v>
      </c>
      <c r="F212" s="39" t="n">
        <v>4</v>
      </c>
      <c r="G212" s="40" t="n">
        <v>26.46</v>
      </c>
      <c r="H212" s="39" t="n">
        <v>69</v>
      </c>
      <c r="I212" s="40" t="n">
        <f aca="false">G212*((100-H212)/100)</f>
        <v>8.2026</v>
      </c>
      <c r="J212" s="41"/>
      <c r="K212" s="42" t="n">
        <f aca="false">+F212*J212</f>
        <v>0</v>
      </c>
      <c r="L212" s="43" t="n">
        <f aca="false">I212*K212</f>
        <v>0</v>
      </c>
    </row>
    <row r="213" customFormat="false" ht="15" hidden="false" customHeight="false" outlineLevel="0" collapsed="false">
      <c r="A213" s="32" t="s">
        <v>443</v>
      </c>
      <c r="B213" s="32" t="s">
        <v>23</v>
      </c>
      <c r="C213" s="32" t="s">
        <v>444</v>
      </c>
      <c r="D213" s="32" t="s">
        <v>211</v>
      </c>
      <c r="E213" s="33" t="n">
        <v>8430942003913</v>
      </c>
      <c r="F213" s="33" t="n">
        <v>3</v>
      </c>
      <c r="G213" s="34" t="n">
        <v>51.198</v>
      </c>
      <c r="H213" s="33" t="n">
        <v>69</v>
      </c>
      <c r="I213" s="34" t="n">
        <f aca="false">G213*((100-H213)/100)</f>
        <v>15.87138</v>
      </c>
      <c r="J213" s="35"/>
      <c r="K213" s="36" t="n">
        <f aca="false">+F213*J213</f>
        <v>0</v>
      </c>
      <c r="L213" s="37" t="n">
        <f aca="false">I213*K213</f>
        <v>0</v>
      </c>
    </row>
    <row r="214" customFormat="false" ht="15" hidden="false" customHeight="false" outlineLevel="0" collapsed="false">
      <c r="A214" s="32" t="s">
        <v>445</v>
      </c>
      <c r="B214" s="32" t="s">
        <v>23</v>
      </c>
      <c r="C214" s="32" t="s">
        <v>446</v>
      </c>
      <c r="D214" s="32" t="s">
        <v>211</v>
      </c>
      <c r="E214" s="33" t="n">
        <v>8430942003982</v>
      </c>
      <c r="F214" s="33" t="n">
        <v>3</v>
      </c>
      <c r="G214" s="34" t="n">
        <v>56.0805</v>
      </c>
      <c r="H214" s="33" t="n">
        <v>69</v>
      </c>
      <c r="I214" s="34" t="n">
        <f aca="false">G214*((100-H214)/100)</f>
        <v>17.384955</v>
      </c>
      <c r="J214" s="35"/>
      <c r="K214" s="36" t="n">
        <f aca="false">+F214*J214</f>
        <v>0</v>
      </c>
      <c r="L214" s="37" t="n">
        <f aca="false">I214*K214</f>
        <v>0</v>
      </c>
    </row>
    <row r="215" customFormat="false" ht="15" hidden="false" customHeight="false" outlineLevel="0" collapsed="false">
      <c r="A215" s="32" t="s">
        <v>447</v>
      </c>
      <c r="B215" s="32" t="s">
        <v>23</v>
      </c>
      <c r="C215" s="32" t="s">
        <v>448</v>
      </c>
      <c r="D215" s="32" t="s">
        <v>211</v>
      </c>
      <c r="E215" s="33" t="n">
        <v>8430942003920</v>
      </c>
      <c r="F215" s="33" t="n">
        <v>3</v>
      </c>
      <c r="G215" s="34" t="n">
        <v>57.8235</v>
      </c>
      <c r="H215" s="33" t="n">
        <v>69</v>
      </c>
      <c r="I215" s="34" t="n">
        <f aca="false">G215*((100-H215)/100)</f>
        <v>17.925285</v>
      </c>
      <c r="J215" s="35"/>
      <c r="K215" s="36" t="n">
        <f aca="false">+F215*J215</f>
        <v>0</v>
      </c>
      <c r="L215" s="37" t="n">
        <f aca="false">I215*K215</f>
        <v>0</v>
      </c>
    </row>
    <row r="216" customFormat="false" ht="15" hidden="false" customHeight="false" outlineLevel="0" collapsed="false">
      <c r="A216" s="32" t="s">
        <v>449</v>
      </c>
      <c r="B216" s="32" t="s">
        <v>23</v>
      </c>
      <c r="C216" s="32" t="s">
        <v>450</v>
      </c>
      <c r="D216" s="32" t="s">
        <v>211</v>
      </c>
      <c r="E216" s="33" t="n">
        <v>8430942030308</v>
      </c>
      <c r="F216" s="33" t="n">
        <v>3</v>
      </c>
      <c r="G216" s="34" t="n">
        <v>60.417</v>
      </c>
      <c r="H216" s="33" t="n">
        <v>69</v>
      </c>
      <c r="I216" s="34" t="n">
        <f aca="false">G216*((100-H216)/100)</f>
        <v>18.72927</v>
      </c>
      <c r="J216" s="35"/>
      <c r="K216" s="36" t="n">
        <f aca="false">+F216*J216</f>
        <v>0</v>
      </c>
      <c r="L216" s="37" t="n">
        <f aca="false">I216*K216</f>
        <v>0</v>
      </c>
    </row>
    <row r="217" customFormat="false" ht="15" hidden="false" customHeight="false" outlineLevel="0" collapsed="false">
      <c r="A217" s="32" t="s">
        <v>451</v>
      </c>
      <c r="B217" s="32" t="s">
        <v>23</v>
      </c>
      <c r="C217" s="32" t="s">
        <v>452</v>
      </c>
      <c r="D217" s="32" t="s">
        <v>211</v>
      </c>
      <c r="E217" s="33" t="n">
        <v>8430942003937</v>
      </c>
      <c r="F217" s="33" t="n">
        <v>2</v>
      </c>
      <c r="G217" s="34" t="n">
        <v>65.0895</v>
      </c>
      <c r="H217" s="33" t="n">
        <v>69</v>
      </c>
      <c r="I217" s="34" t="n">
        <f aca="false">G217*((100-H217)/100)</f>
        <v>20.177745</v>
      </c>
      <c r="J217" s="35"/>
      <c r="K217" s="36" t="n">
        <f aca="false">+F217*J217</f>
        <v>0</v>
      </c>
      <c r="L217" s="37" t="n">
        <f aca="false">I217*K217</f>
        <v>0</v>
      </c>
    </row>
    <row r="218" customFormat="false" ht="15" hidden="false" customHeight="false" outlineLevel="0" collapsed="false">
      <c r="A218" s="32" t="s">
        <v>453</v>
      </c>
      <c r="B218" s="32" t="s">
        <v>23</v>
      </c>
      <c r="C218" s="32" t="s">
        <v>454</v>
      </c>
      <c r="D218" s="32" t="s">
        <v>211</v>
      </c>
      <c r="E218" s="33" t="n">
        <v>8430942020224</v>
      </c>
      <c r="F218" s="33" t="n">
        <v>2</v>
      </c>
      <c r="G218" s="34" t="n">
        <v>81.879</v>
      </c>
      <c r="H218" s="33" t="n">
        <v>69</v>
      </c>
      <c r="I218" s="34" t="n">
        <f aca="false">G218*((100-H218)/100)</f>
        <v>25.38249</v>
      </c>
      <c r="J218" s="35"/>
      <c r="K218" s="36" t="n">
        <f aca="false">+F218*J218</f>
        <v>0</v>
      </c>
      <c r="L218" s="37" t="n">
        <f aca="false">I218*K218</f>
        <v>0</v>
      </c>
    </row>
    <row r="219" customFormat="false" ht="15" hidden="false" customHeight="false" outlineLevel="0" collapsed="false">
      <c r="A219" s="32" t="s">
        <v>455</v>
      </c>
      <c r="B219" s="32" t="s">
        <v>23</v>
      </c>
      <c r="C219" s="32" t="s">
        <v>456</v>
      </c>
      <c r="D219" s="32" t="s">
        <v>211</v>
      </c>
      <c r="E219" s="33" t="n">
        <v>8430942034009</v>
      </c>
      <c r="F219" s="33" t="n">
        <v>2</v>
      </c>
      <c r="G219" s="34" t="n">
        <v>84.147</v>
      </c>
      <c r="H219" s="33" t="n">
        <v>69</v>
      </c>
      <c r="I219" s="34" t="n">
        <f aca="false">G219*((100-H219)/100)</f>
        <v>26.08557</v>
      </c>
      <c r="J219" s="35"/>
      <c r="K219" s="36" t="n">
        <f aca="false">+F219*J219</f>
        <v>0</v>
      </c>
      <c r="L219" s="37" t="n">
        <f aca="false">I219*K219</f>
        <v>0</v>
      </c>
    </row>
    <row r="220" customFormat="false" ht="15" hidden="false" customHeight="false" outlineLevel="0" collapsed="false">
      <c r="A220" s="32" t="s">
        <v>457</v>
      </c>
      <c r="B220" s="32" t="s">
        <v>23</v>
      </c>
      <c r="C220" s="32" t="s">
        <v>458</v>
      </c>
      <c r="D220" s="32" t="s">
        <v>211</v>
      </c>
      <c r="E220" s="33" t="n">
        <v>8430942003944</v>
      </c>
      <c r="F220" s="33" t="n">
        <v>2</v>
      </c>
      <c r="G220" s="34" t="n">
        <v>86.7195</v>
      </c>
      <c r="H220" s="33" t="n">
        <v>69</v>
      </c>
      <c r="I220" s="34" t="n">
        <f aca="false">G220*((100-H220)/100)</f>
        <v>26.883045</v>
      </c>
      <c r="J220" s="35"/>
      <c r="K220" s="36" t="n">
        <f aca="false">+F220*J220</f>
        <v>0</v>
      </c>
      <c r="L220" s="37" t="n">
        <f aca="false">I220*K220</f>
        <v>0</v>
      </c>
    </row>
    <row r="221" customFormat="false" ht="15" hidden="false" customHeight="false" outlineLevel="0" collapsed="false">
      <c r="A221" s="32" t="s">
        <v>459</v>
      </c>
      <c r="B221" s="32" t="s">
        <v>23</v>
      </c>
      <c r="C221" s="32" t="s">
        <v>460</v>
      </c>
      <c r="D221" s="32" t="s">
        <v>211</v>
      </c>
      <c r="E221" s="33" t="n">
        <v>8430942034023</v>
      </c>
      <c r="F221" s="33" t="n">
        <v>1</v>
      </c>
      <c r="G221" s="34" t="n">
        <v>122.8605</v>
      </c>
      <c r="H221" s="33" t="n">
        <v>69</v>
      </c>
      <c r="I221" s="34" t="n">
        <f aca="false">G221*((100-H221)/100)</f>
        <v>38.086755</v>
      </c>
      <c r="J221" s="35"/>
      <c r="K221" s="36" t="n">
        <f aca="false">+F221*J221</f>
        <v>0</v>
      </c>
      <c r="L221" s="37" t="n">
        <f aca="false">I221*K221</f>
        <v>0</v>
      </c>
    </row>
    <row r="222" customFormat="false" ht="15" hidden="false" customHeight="false" outlineLevel="0" collapsed="false">
      <c r="A222" s="32" t="s">
        <v>461</v>
      </c>
      <c r="B222" s="32" t="s">
        <v>23</v>
      </c>
      <c r="C222" s="32" t="s">
        <v>462</v>
      </c>
      <c r="D222" s="32" t="s">
        <v>211</v>
      </c>
      <c r="E222" s="33" t="n">
        <v>8430942305543</v>
      </c>
      <c r="F222" s="33" t="n">
        <v>1</v>
      </c>
      <c r="G222" s="34" t="n">
        <v>183.624</v>
      </c>
      <c r="H222" s="33" t="n">
        <v>69</v>
      </c>
      <c r="I222" s="34" t="n">
        <f aca="false">G222*((100-H222)/100)</f>
        <v>56.92344</v>
      </c>
      <c r="J222" s="35"/>
      <c r="K222" s="36" t="n">
        <f aca="false">+F222*J222</f>
        <v>0</v>
      </c>
      <c r="L222" s="37" t="n">
        <f aca="false">I222*K222</f>
        <v>0</v>
      </c>
    </row>
    <row r="223" customFormat="false" ht="15" hidden="false" customHeight="false" outlineLevel="0" collapsed="false">
      <c r="A223" s="32" t="s">
        <v>235</v>
      </c>
      <c r="B223" s="32" t="s">
        <v>23</v>
      </c>
      <c r="C223" s="32" t="s">
        <v>236</v>
      </c>
      <c r="D223" s="32" t="s">
        <v>237</v>
      </c>
      <c r="E223" s="33" t="n">
        <v>8430942354275</v>
      </c>
      <c r="F223" s="33" t="n">
        <v>1</v>
      </c>
      <c r="G223" s="34" t="n">
        <v>222.9</v>
      </c>
      <c r="H223" s="33" t="n">
        <v>69</v>
      </c>
      <c r="I223" s="34" t="n">
        <f aca="false">G223*((100-H223)/100)</f>
        <v>69.099</v>
      </c>
      <c r="J223" s="35"/>
      <c r="K223" s="36" t="n">
        <f aca="false">+F223*J223</f>
        <v>0</v>
      </c>
      <c r="L223" s="37" t="n">
        <f aca="false">I223*K223</f>
        <v>0</v>
      </c>
    </row>
    <row r="224" customFormat="false" ht="15" hidden="false" customHeight="false" outlineLevel="0" collapsed="false">
      <c r="A224" s="32" t="s">
        <v>463</v>
      </c>
      <c r="B224" s="32" t="s">
        <v>23</v>
      </c>
      <c r="C224" s="32" t="s">
        <v>464</v>
      </c>
      <c r="D224" s="32" t="s">
        <v>224</v>
      </c>
      <c r="E224" s="33" t="n">
        <v>8430942004057</v>
      </c>
      <c r="F224" s="33" t="n">
        <v>1</v>
      </c>
      <c r="G224" s="34" t="n">
        <v>26.7855</v>
      </c>
      <c r="H224" s="33" t="n">
        <v>69</v>
      </c>
      <c r="I224" s="34" t="n">
        <f aca="false">G224*((100-H224)/100)</f>
        <v>8.303505</v>
      </c>
      <c r="J224" s="35"/>
      <c r="K224" s="36" t="n">
        <f aca="false">+F224*J224</f>
        <v>0</v>
      </c>
      <c r="L224" s="37" t="n">
        <f aca="false">I224*K224</f>
        <v>0</v>
      </c>
    </row>
    <row r="225" customFormat="false" ht="15" hidden="false" customHeight="false" outlineLevel="0" collapsed="false">
      <c r="A225" s="32" t="s">
        <v>465</v>
      </c>
      <c r="B225" s="32" t="s">
        <v>23</v>
      </c>
      <c r="C225" s="32" t="s">
        <v>466</v>
      </c>
      <c r="D225" s="32" t="s">
        <v>224</v>
      </c>
      <c r="E225" s="33" t="n">
        <v>8430942017712</v>
      </c>
      <c r="F225" s="33" t="n">
        <v>1</v>
      </c>
      <c r="G225" s="34" t="n">
        <v>30.975</v>
      </c>
      <c r="H225" s="33" t="n">
        <v>69</v>
      </c>
      <c r="I225" s="34" t="n">
        <f aca="false">G225*((100-H225)/100)</f>
        <v>9.60225</v>
      </c>
      <c r="J225" s="35"/>
      <c r="K225" s="36" t="n">
        <f aca="false">+F225*J225</f>
        <v>0</v>
      </c>
      <c r="L225" s="37" t="n">
        <f aca="false">I225*K225</f>
        <v>0</v>
      </c>
    </row>
    <row r="226" customFormat="false" ht="15" hidden="false" customHeight="false" outlineLevel="0" collapsed="false">
      <c r="A226" s="32" t="s">
        <v>467</v>
      </c>
      <c r="B226" s="32" t="s">
        <v>23</v>
      </c>
      <c r="C226" s="32" t="s">
        <v>468</v>
      </c>
      <c r="D226" s="32" t="s">
        <v>224</v>
      </c>
      <c r="E226" s="33" t="n">
        <v>8430942003951</v>
      </c>
      <c r="F226" s="33" t="n">
        <v>1</v>
      </c>
      <c r="G226" s="34" t="n">
        <v>31.941</v>
      </c>
      <c r="H226" s="33" t="n">
        <v>69</v>
      </c>
      <c r="I226" s="34" t="n">
        <f aca="false">G226*((100-H226)/100)</f>
        <v>9.90171</v>
      </c>
      <c r="J226" s="35"/>
      <c r="K226" s="36" t="n">
        <f aca="false">+F226*J226</f>
        <v>0</v>
      </c>
      <c r="L226" s="37" t="n">
        <f aca="false">I226*K226</f>
        <v>0</v>
      </c>
    </row>
    <row r="227" customFormat="false" ht="15" hidden="false" customHeight="false" outlineLevel="0" collapsed="false">
      <c r="A227" s="32" t="s">
        <v>469</v>
      </c>
      <c r="B227" s="32" t="s">
        <v>23</v>
      </c>
      <c r="C227" s="32" t="s">
        <v>470</v>
      </c>
      <c r="D227" s="32" t="s">
        <v>224</v>
      </c>
      <c r="E227" s="33" t="n">
        <v>8430942020231</v>
      </c>
      <c r="F227" s="33" t="n">
        <v>1</v>
      </c>
      <c r="G227" s="34" t="n">
        <v>31.941</v>
      </c>
      <c r="H227" s="33" t="n">
        <v>69</v>
      </c>
      <c r="I227" s="34" t="n">
        <f aca="false">G227*((100-H227)/100)</f>
        <v>9.90171</v>
      </c>
      <c r="J227" s="35"/>
      <c r="K227" s="36" t="n">
        <f aca="false">+F227*J227</f>
        <v>0</v>
      </c>
      <c r="L227" s="37" t="n">
        <f aca="false">I227*K227</f>
        <v>0</v>
      </c>
    </row>
    <row r="228" customFormat="false" ht="15" hidden="false" customHeight="false" outlineLevel="0" collapsed="false">
      <c r="A228" s="32" t="s">
        <v>471</v>
      </c>
      <c r="B228" s="32" t="s">
        <v>23</v>
      </c>
      <c r="C228" s="32" t="s">
        <v>472</v>
      </c>
      <c r="D228" s="32" t="s">
        <v>224</v>
      </c>
      <c r="E228" s="33" t="n">
        <v>8430942003968</v>
      </c>
      <c r="F228" s="33" t="n">
        <v>1</v>
      </c>
      <c r="G228" s="34" t="n">
        <v>34.2825</v>
      </c>
      <c r="H228" s="33" t="n">
        <v>69</v>
      </c>
      <c r="I228" s="34" t="n">
        <f aca="false">G228*((100-H228)/100)</f>
        <v>10.627575</v>
      </c>
      <c r="J228" s="35"/>
      <c r="K228" s="36" t="n">
        <f aca="false">+F228*J228</f>
        <v>0</v>
      </c>
      <c r="L228" s="37" t="n">
        <f aca="false">I228*K228</f>
        <v>0</v>
      </c>
    </row>
    <row r="229" customFormat="false" ht="15" hidden="false" customHeight="false" outlineLevel="0" collapsed="false">
      <c r="A229" s="32" t="s">
        <v>473</v>
      </c>
      <c r="B229" s="32" t="s">
        <v>23</v>
      </c>
      <c r="C229" s="32" t="s">
        <v>474</v>
      </c>
      <c r="D229" s="32" t="s">
        <v>224</v>
      </c>
      <c r="E229" s="33" t="n">
        <v>8430942020248</v>
      </c>
      <c r="F229" s="33" t="n">
        <v>1</v>
      </c>
      <c r="G229" s="34" t="n">
        <v>41.0235</v>
      </c>
      <c r="H229" s="33" t="n">
        <v>69</v>
      </c>
      <c r="I229" s="34" t="n">
        <f aca="false">G229*((100-H229)/100)</f>
        <v>12.717285</v>
      </c>
      <c r="J229" s="35"/>
      <c r="K229" s="36" t="n">
        <f aca="false">+F229*J229</f>
        <v>0</v>
      </c>
      <c r="L229" s="37" t="n">
        <f aca="false">I229*K229</f>
        <v>0</v>
      </c>
    </row>
    <row r="230" customFormat="false" ht="15" hidden="false" customHeight="false" outlineLevel="0" collapsed="false">
      <c r="A230" s="32" t="s">
        <v>475</v>
      </c>
      <c r="B230" s="32" t="s">
        <v>23</v>
      </c>
      <c r="C230" s="32" t="s">
        <v>476</v>
      </c>
      <c r="D230" s="32" t="s">
        <v>224</v>
      </c>
      <c r="E230" s="33" t="n">
        <v>8430942034030</v>
      </c>
      <c r="F230" s="33" t="n">
        <v>1</v>
      </c>
      <c r="G230" s="34" t="n">
        <v>41.0235</v>
      </c>
      <c r="H230" s="33" t="n">
        <v>69</v>
      </c>
      <c r="I230" s="34" t="n">
        <f aca="false">G230*((100-H230)/100)</f>
        <v>12.717285</v>
      </c>
      <c r="J230" s="35"/>
      <c r="K230" s="36" t="n">
        <f aca="false">+F230*J230</f>
        <v>0</v>
      </c>
      <c r="L230" s="37" t="n">
        <f aca="false">I230*K230</f>
        <v>0</v>
      </c>
    </row>
    <row r="231" customFormat="false" ht="15" hidden="false" customHeight="false" outlineLevel="0" collapsed="false">
      <c r="A231" s="32" t="s">
        <v>477</v>
      </c>
      <c r="B231" s="32" t="s">
        <v>23</v>
      </c>
      <c r="C231" s="32" t="s">
        <v>478</v>
      </c>
      <c r="D231" s="32" t="s">
        <v>224</v>
      </c>
      <c r="E231" s="33" t="n">
        <v>8430942003975</v>
      </c>
      <c r="F231" s="33" t="n">
        <v>1</v>
      </c>
      <c r="G231" s="34" t="n">
        <v>41.0235</v>
      </c>
      <c r="H231" s="33" t="n">
        <v>69</v>
      </c>
      <c r="I231" s="34" t="n">
        <f aca="false">G231*((100-H231)/100)</f>
        <v>12.717285</v>
      </c>
      <c r="J231" s="35"/>
      <c r="K231" s="36" t="n">
        <f aca="false">+F231*J231</f>
        <v>0</v>
      </c>
      <c r="L231" s="37" t="n">
        <f aca="false">I231*K231</f>
        <v>0</v>
      </c>
    </row>
    <row r="232" customFormat="false" ht="15" hidden="false" customHeight="false" outlineLevel="0" collapsed="false">
      <c r="A232" s="32" t="s">
        <v>479</v>
      </c>
      <c r="B232" s="32" t="s">
        <v>23</v>
      </c>
      <c r="C232" s="32" t="s">
        <v>480</v>
      </c>
      <c r="D232" s="32" t="s">
        <v>224</v>
      </c>
      <c r="E232" s="33" t="n">
        <v>8430942034153</v>
      </c>
      <c r="F232" s="33" t="n">
        <v>1</v>
      </c>
      <c r="G232" s="34" t="n">
        <v>46.7985</v>
      </c>
      <c r="H232" s="33" t="n">
        <v>69</v>
      </c>
      <c r="I232" s="34" t="n">
        <f aca="false">G232*((100-H232)/100)</f>
        <v>14.507535</v>
      </c>
      <c r="J232" s="35"/>
      <c r="K232" s="36" t="n">
        <f aca="false">+F232*J232</f>
        <v>0</v>
      </c>
      <c r="L232" s="37" t="n">
        <f aca="false">I232*K232</f>
        <v>0</v>
      </c>
    </row>
    <row r="233" customFormat="false" ht="15" hidden="false" customHeight="false" outlineLevel="0" collapsed="false">
      <c r="A233" s="32" t="s">
        <v>481</v>
      </c>
      <c r="B233" s="32" t="s">
        <v>23</v>
      </c>
      <c r="C233" s="32" t="s">
        <v>482</v>
      </c>
      <c r="D233" s="32" t="s">
        <v>224</v>
      </c>
      <c r="E233" s="33" t="n">
        <v>8430942305550</v>
      </c>
      <c r="F233" s="33" t="n">
        <v>1</v>
      </c>
      <c r="G233" s="34" t="n">
        <v>50.589</v>
      </c>
      <c r="H233" s="33" t="n">
        <v>69</v>
      </c>
      <c r="I233" s="34" t="n">
        <f aca="false">G233*((100-H233)/100)</f>
        <v>15.68259</v>
      </c>
      <c r="J233" s="35"/>
      <c r="K233" s="36" t="n">
        <f aca="false">+F233*J233</f>
        <v>0</v>
      </c>
      <c r="L233" s="37" t="n">
        <f aca="false">I233*K233</f>
        <v>0</v>
      </c>
    </row>
    <row r="234" customFormat="false" ht="15" hidden="false" customHeight="false" outlineLevel="0" collapsed="false">
      <c r="A234" s="44" t="s">
        <v>483</v>
      </c>
      <c r="B234" s="32" t="s">
        <v>23</v>
      </c>
      <c r="C234" s="32" t="s">
        <v>484</v>
      </c>
      <c r="D234" s="32" t="s">
        <v>113</v>
      </c>
      <c r="E234" s="33" t="n">
        <v>8430942039257</v>
      </c>
      <c r="F234" s="33" t="n">
        <v>1</v>
      </c>
      <c r="G234" s="34" t="n">
        <v>39.8</v>
      </c>
      <c r="H234" s="33" t="n">
        <v>69</v>
      </c>
      <c r="I234" s="34" t="n">
        <f aca="false">G234*((100-H234)/100)</f>
        <v>12.338</v>
      </c>
      <c r="J234" s="35"/>
      <c r="K234" s="36" t="n">
        <f aca="false">+F234*J234</f>
        <v>0</v>
      </c>
      <c r="L234" s="37" t="n">
        <f aca="false">I234*K234</f>
        <v>0</v>
      </c>
    </row>
    <row r="235" customFormat="false" ht="15" hidden="false" customHeight="false" outlineLevel="0" collapsed="false">
      <c r="A235" s="44" t="s">
        <v>485</v>
      </c>
      <c r="B235" s="32" t="s">
        <v>23</v>
      </c>
      <c r="C235" s="32" t="s">
        <v>486</v>
      </c>
      <c r="D235" s="32" t="s">
        <v>113</v>
      </c>
      <c r="E235" s="33" t="n">
        <v>8430942042615</v>
      </c>
      <c r="F235" s="33" t="n">
        <v>1</v>
      </c>
      <c r="G235" s="34" t="n">
        <v>40.5</v>
      </c>
      <c r="H235" s="33" t="n">
        <v>69</v>
      </c>
      <c r="I235" s="34" t="n">
        <f aca="false">G235*((100-H235)/100)</f>
        <v>12.555</v>
      </c>
      <c r="J235" s="35"/>
      <c r="K235" s="36" t="n">
        <f aca="false">+F235*J235</f>
        <v>0</v>
      </c>
      <c r="L235" s="37" t="n">
        <f aca="false">I235*K235</f>
        <v>0</v>
      </c>
    </row>
    <row r="236" customFormat="false" ht="15" hidden="false" customHeight="false" outlineLevel="0" collapsed="false">
      <c r="A236" s="44" t="s">
        <v>487</v>
      </c>
      <c r="B236" s="32" t="s">
        <v>23</v>
      </c>
      <c r="C236" s="32" t="s">
        <v>488</v>
      </c>
      <c r="D236" s="32" t="s">
        <v>113</v>
      </c>
      <c r="E236" s="33" t="n">
        <v>8430942042745</v>
      </c>
      <c r="F236" s="33" t="n">
        <v>1</v>
      </c>
      <c r="G236" s="34" t="n">
        <v>41.93</v>
      </c>
      <c r="H236" s="33" t="n">
        <v>69</v>
      </c>
      <c r="I236" s="34" t="n">
        <f aca="false">G236*((100-H236)/100)</f>
        <v>12.9983</v>
      </c>
      <c r="J236" s="35"/>
      <c r="K236" s="36" t="n">
        <f aca="false">+F236*J236</f>
        <v>0</v>
      </c>
      <c r="L236" s="37" t="n">
        <f aca="false">I236*K236</f>
        <v>0</v>
      </c>
    </row>
    <row r="237" customFormat="false" ht="15" hidden="false" customHeight="false" outlineLevel="0" collapsed="false">
      <c r="A237" s="44" t="s">
        <v>489</v>
      </c>
      <c r="B237" s="32" t="s">
        <v>23</v>
      </c>
      <c r="C237" s="32" t="s">
        <v>490</v>
      </c>
      <c r="D237" s="32" t="s">
        <v>113</v>
      </c>
      <c r="E237" s="33" t="n">
        <v>8430942042783</v>
      </c>
      <c r="F237" s="33" t="n">
        <v>1</v>
      </c>
      <c r="G237" s="34" t="n">
        <v>42.87</v>
      </c>
      <c r="H237" s="33" t="n">
        <v>69</v>
      </c>
      <c r="I237" s="34" t="n">
        <f aca="false">G237*((100-H237)/100)</f>
        <v>13.2897</v>
      </c>
      <c r="J237" s="35"/>
      <c r="K237" s="36" t="n">
        <f aca="false">+F237*J237</f>
        <v>0</v>
      </c>
      <c r="L237" s="37" t="n">
        <f aca="false">I237*K237</f>
        <v>0</v>
      </c>
    </row>
    <row r="238" customFormat="false" ht="15" hidden="false" customHeight="false" outlineLevel="0" collapsed="false">
      <c r="A238" s="44" t="s">
        <v>491</v>
      </c>
      <c r="B238" s="32" t="s">
        <v>23</v>
      </c>
      <c r="C238" s="32" t="s">
        <v>492</v>
      </c>
      <c r="D238" s="32" t="s">
        <v>113</v>
      </c>
      <c r="E238" s="33" t="n">
        <v>8430942043162</v>
      </c>
      <c r="F238" s="33" t="n">
        <v>1</v>
      </c>
      <c r="G238" s="34" t="n">
        <v>43.58</v>
      </c>
      <c r="H238" s="33" t="n">
        <v>69</v>
      </c>
      <c r="I238" s="34" t="n">
        <f aca="false">G238*((100-H238)/100)</f>
        <v>13.5098</v>
      </c>
      <c r="J238" s="35"/>
      <c r="K238" s="36" t="n">
        <f aca="false">+F238*J238</f>
        <v>0</v>
      </c>
      <c r="L238" s="37" t="n">
        <f aca="false">I238*K238</f>
        <v>0</v>
      </c>
    </row>
    <row r="239" customFormat="false" ht="15" hidden="false" customHeight="false" outlineLevel="0" collapsed="false">
      <c r="A239" s="44" t="s">
        <v>493</v>
      </c>
      <c r="B239" s="32" t="s">
        <v>23</v>
      </c>
      <c r="C239" s="32" t="s">
        <v>494</v>
      </c>
      <c r="D239" s="32" t="s">
        <v>113</v>
      </c>
      <c r="E239" s="33" t="n">
        <v>8430942043179</v>
      </c>
      <c r="F239" s="33" t="n">
        <v>1</v>
      </c>
      <c r="G239" s="34" t="n">
        <v>46.42</v>
      </c>
      <c r="H239" s="33" t="n">
        <v>69</v>
      </c>
      <c r="I239" s="34" t="n">
        <f aca="false">G239*((100-H239)/100)</f>
        <v>14.3902</v>
      </c>
      <c r="J239" s="35"/>
      <c r="K239" s="36" t="n">
        <f aca="false">+F239*J239</f>
        <v>0</v>
      </c>
      <c r="L239" s="37" t="n">
        <f aca="false">I239*K239</f>
        <v>0</v>
      </c>
    </row>
    <row r="240" customFormat="false" ht="15" hidden="false" customHeight="false" outlineLevel="0" collapsed="false">
      <c r="A240" s="44" t="s">
        <v>495</v>
      </c>
      <c r="B240" s="32" t="s">
        <v>23</v>
      </c>
      <c r="C240" s="32" t="s">
        <v>496</v>
      </c>
      <c r="D240" s="32" t="s">
        <v>113</v>
      </c>
      <c r="E240" s="33" t="n">
        <v>8430942043193</v>
      </c>
      <c r="F240" s="33" t="n">
        <v>1</v>
      </c>
      <c r="G240" s="34" t="n">
        <v>46.66</v>
      </c>
      <c r="H240" s="33" t="n">
        <v>69</v>
      </c>
      <c r="I240" s="34" t="n">
        <f aca="false">G240*((100-H240)/100)</f>
        <v>14.4646</v>
      </c>
      <c r="J240" s="35"/>
      <c r="K240" s="36" t="n">
        <f aca="false">+F240*J240</f>
        <v>0</v>
      </c>
      <c r="L240" s="37" t="n">
        <f aca="false">I240*K240</f>
        <v>0</v>
      </c>
    </row>
    <row r="241" customFormat="false" ht="15" hidden="false" customHeight="false" outlineLevel="0" collapsed="false">
      <c r="A241" s="44" t="s">
        <v>497</v>
      </c>
      <c r="B241" s="32" t="s">
        <v>23</v>
      </c>
      <c r="C241" s="32" t="s">
        <v>498</v>
      </c>
      <c r="D241" s="32" t="s">
        <v>113</v>
      </c>
      <c r="E241" s="33" t="n">
        <v>8430942043278</v>
      </c>
      <c r="F241" s="33" t="n">
        <v>1</v>
      </c>
      <c r="G241" s="34" t="n">
        <v>58.81</v>
      </c>
      <c r="H241" s="33" t="n">
        <v>69</v>
      </c>
      <c r="I241" s="34" t="n">
        <f aca="false">G241*((100-H241)/100)</f>
        <v>18.2311</v>
      </c>
      <c r="J241" s="35"/>
      <c r="K241" s="36" t="n">
        <f aca="false">+F241*J241</f>
        <v>0</v>
      </c>
      <c r="L241" s="37" t="n">
        <f aca="false">I241*K241</f>
        <v>0</v>
      </c>
    </row>
    <row r="242" customFormat="false" ht="15" hidden="false" customHeight="false" outlineLevel="0" collapsed="false">
      <c r="A242" s="44" t="s">
        <v>499</v>
      </c>
      <c r="B242" s="32" t="s">
        <v>23</v>
      </c>
      <c r="C242" s="32" t="s">
        <v>500</v>
      </c>
      <c r="D242" s="32" t="s">
        <v>113</v>
      </c>
      <c r="E242" s="33" t="n">
        <v>8430942044534</v>
      </c>
      <c r="F242" s="33" t="n">
        <v>1</v>
      </c>
      <c r="G242" s="34" t="n">
        <v>59.31</v>
      </c>
      <c r="H242" s="33" t="n">
        <v>69</v>
      </c>
      <c r="I242" s="34" t="n">
        <f aca="false">G242*((100-H242)/100)</f>
        <v>18.3861</v>
      </c>
      <c r="J242" s="35"/>
      <c r="K242" s="36" t="n">
        <f aca="false">+F242*J242</f>
        <v>0</v>
      </c>
      <c r="L242" s="37" t="n">
        <f aca="false">I242*K242</f>
        <v>0</v>
      </c>
    </row>
    <row r="243" customFormat="false" ht="15" hidden="false" customHeight="false" outlineLevel="0" collapsed="false">
      <c r="A243" s="44" t="s">
        <v>501</v>
      </c>
      <c r="B243" s="32" t="s">
        <v>23</v>
      </c>
      <c r="C243" s="32" t="s">
        <v>502</v>
      </c>
      <c r="D243" s="32" t="s">
        <v>113</v>
      </c>
      <c r="E243" s="33" t="n">
        <v>8430942044527</v>
      </c>
      <c r="F243" s="33" t="n">
        <v>1</v>
      </c>
      <c r="G243" s="34" t="n">
        <v>59.81</v>
      </c>
      <c r="H243" s="33" t="n">
        <v>69</v>
      </c>
      <c r="I243" s="34" t="n">
        <f aca="false">G243*((100-H243)/100)</f>
        <v>18.5411</v>
      </c>
      <c r="J243" s="35"/>
      <c r="K243" s="36" t="n">
        <f aca="false">+F243*J243</f>
        <v>0</v>
      </c>
      <c r="L243" s="37" t="n">
        <f aca="false">I243*K243</f>
        <v>0</v>
      </c>
    </row>
    <row r="244" customFormat="false" ht="15" hidden="false" customHeight="false" outlineLevel="0" collapsed="false">
      <c r="A244" s="44" t="s">
        <v>503</v>
      </c>
      <c r="B244" s="32" t="s">
        <v>23</v>
      </c>
      <c r="C244" s="32" t="s">
        <v>504</v>
      </c>
      <c r="D244" s="32" t="s">
        <v>113</v>
      </c>
      <c r="E244" s="33" t="n">
        <v>8430942045012</v>
      </c>
      <c r="F244" s="33" t="n">
        <v>1</v>
      </c>
      <c r="G244" s="34" t="n">
        <v>61.39</v>
      </c>
      <c r="H244" s="33" t="n">
        <v>69</v>
      </c>
      <c r="I244" s="34" t="n">
        <f aca="false">G244*((100-H244)/100)</f>
        <v>19.0309</v>
      </c>
      <c r="J244" s="35"/>
      <c r="K244" s="36" t="n">
        <f aca="false">+F244*J244</f>
        <v>0</v>
      </c>
      <c r="L244" s="37" t="n">
        <f aca="false">I244*K244</f>
        <v>0</v>
      </c>
    </row>
    <row r="245" customFormat="false" ht="15" hidden="false" customHeight="false" outlineLevel="0" collapsed="false">
      <c r="A245" s="44" t="s">
        <v>505</v>
      </c>
      <c r="B245" s="32" t="s">
        <v>23</v>
      </c>
      <c r="C245" s="32" t="s">
        <v>506</v>
      </c>
      <c r="D245" s="32" t="s">
        <v>113</v>
      </c>
      <c r="E245" s="33" t="n">
        <v>8430942044886</v>
      </c>
      <c r="F245" s="33" t="n">
        <v>1</v>
      </c>
      <c r="G245" s="34" t="n">
        <v>72.06</v>
      </c>
      <c r="H245" s="33" t="n">
        <v>69</v>
      </c>
      <c r="I245" s="34" t="n">
        <f aca="false">G245*((100-H245)/100)</f>
        <v>22.3386</v>
      </c>
      <c r="J245" s="35"/>
      <c r="K245" s="36" t="n">
        <f aca="false">+F245*J245</f>
        <v>0</v>
      </c>
      <c r="L245" s="37" t="n">
        <f aca="false">I245*K245</f>
        <v>0</v>
      </c>
    </row>
    <row r="246" customFormat="false" ht="15" hidden="false" customHeight="false" outlineLevel="0" collapsed="false">
      <c r="A246" s="44" t="s">
        <v>507</v>
      </c>
      <c r="B246" s="32" t="s">
        <v>23</v>
      </c>
      <c r="C246" s="32" t="s">
        <v>508</v>
      </c>
      <c r="D246" s="32" t="s">
        <v>113</v>
      </c>
      <c r="E246" s="33" t="n">
        <v>8430942044794</v>
      </c>
      <c r="F246" s="33" t="n">
        <v>1</v>
      </c>
      <c r="G246" s="34" t="n">
        <v>86.59</v>
      </c>
      <c r="H246" s="33" t="n">
        <v>69</v>
      </c>
      <c r="I246" s="34" t="n">
        <f aca="false">G246*((100-H246)/100)</f>
        <v>26.8429</v>
      </c>
      <c r="J246" s="35"/>
      <c r="K246" s="36" t="n">
        <f aca="false">+F246*J246</f>
        <v>0</v>
      </c>
      <c r="L246" s="37" t="n">
        <f aca="false">I246*K246</f>
        <v>0</v>
      </c>
    </row>
    <row r="247" customFormat="false" ht="15" hidden="false" customHeight="false" outlineLevel="0" collapsed="false">
      <c r="A247" s="44" t="s">
        <v>509</v>
      </c>
      <c r="B247" s="32" t="s">
        <v>23</v>
      </c>
      <c r="C247" s="32" t="s">
        <v>510</v>
      </c>
      <c r="D247" s="32" t="s">
        <v>113</v>
      </c>
      <c r="E247" s="33" t="n">
        <v>8430942044718</v>
      </c>
      <c r="F247" s="33" t="n">
        <v>1</v>
      </c>
      <c r="G247" s="34" t="n">
        <v>87.61</v>
      </c>
      <c r="H247" s="33" t="n">
        <v>69</v>
      </c>
      <c r="I247" s="34" t="n">
        <f aca="false">G247*((100-H247)/100)</f>
        <v>27.1591</v>
      </c>
      <c r="J247" s="35"/>
      <c r="K247" s="36" t="n">
        <f aca="false">+F247*J247</f>
        <v>0</v>
      </c>
      <c r="L247" s="37" t="n">
        <f aca="false">I247*K247</f>
        <v>0</v>
      </c>
    </row>
    <row r="248" customFormat="false" ht="15" hidden="false" customHeight="false" outlineLevel="0" collapsed="false">
      <c r="A248" s="32" t="s">
        <v>511</v>
      </c>
      <c r="B248" s="32" t="s">
        <v>23</v>
      </c>
      <c r="C248" s="32" t="s">
        <v>512</v>
      </c>
      <c r="D248" s="32" t="s">
        <v>253</v>
      </c>
      <c r="E248" s="33" t="n">
        <v>8430942016968</v>
      </c>
      <c r="F248" s="33" t="n">
        <v>1</v>
      </c>
      <c r="G248" s="34" t="n">
        <v>23.8035</v>
      </c>
      <c r="H248" s="33" t="n">
        <v>69</v>
      </c>
      <c r="I248" s="34" t="n">
        <f aca="false">G248*((100-H248)/100)</f>
        <v>7.379085</v>
      </c>
      <c r="J248" s="35"/>
      <c r="K248" s="36" t="n">
        <f aca="false">+F248*J248</f>
        <v>0</v>
      </c>
      <c r="L248" s="37" t="n">
        <f aca="false">I248*K248</f>
        <v>0</v>
      </c>
    </row>
    <row r="249" customFormat="false" ht="15" hidden="false" customHeight="false" outlineLevel="0" collapsed="false">
      <c r="A249" s="32" t="s">
        <v>513</v>
      </c>
      <c r="B249" s="32" t="s">
        <v>23</v>
      </c>
      <c r="C249" s="32" t="s">
        <v>514</v>
      </c>
      <c r="D249" s="32" t="s">
        <v>253</v>
      </c>
      <c r="E249" s="33" t="n">
        <v>8430942016975</v>
      </c>
      <c r="F249" s="33" t="n">
        <v>1</v>
      </c>
      <c r="G249" s="34" t="n">
        <v>23.8035</v>
      </c>
      <c r="H249" s="33" t="n">
        <v>69</v>
      </c>
      <c r="I249" s="34" t="n">
        <f aca="false">G249*((100-H249)/100)</f>
        <v>7.379085</v>
      </c>
      <c r="J249" s="35"/>
      <c r="K249" s="36" t="n">
        <f aca="false">+F249*J249</f>
        <v>0</v>
      </c>
      <c r="L249" s="37" t="n">
        <f aca="false">I249*K249</f>
        <v>0</v>
      </c>
    </row>
    <row r="250" customFormat="false" ht="15" hidden="false" customHeight="false" outlineLevel="0" collapsed="false">
      <c r="A250" s="32" t="s">
        <v>515</v>
      </c>
      <c r="B250" s="32" t="s">
        <v>23</v>
      </c>
      <c r="C250" s="32" t="s">
        <v>516</v>
      </c>
      <c r="D250" s="32" t="s">
        <v>253</v>
      </c>
      <c r="E250" s="33" t="n">
        <v>8430942007096</v>
      </c>
      <c r="F250" s="33" t="n">
        <v>1</v>
      </c>
      <c r="G250" s="34" t="n">
        <v>23.8035</v>
      </c>
      <c r="H250" s="33" t="n">
        <v>69</v>
      </c>
      <c r="I250" s="34" t="n">
        <f aca="false">G250*((100-H250)/100)</f>
        <v>7.379085</v>
      </c>
      <c r="J250" s="35"/>
      <c r="K250" s="36" t="n">
        <f aca="false">+F250*J250</f>
        <v>0</v>
      </c>
      <c r="L250" s="37" t="n">
        <f aca="false">I250*K250</f>
        <v>0</v>
      </c>
    </row>
    <row r="251" customFormat="false" ht="15" hidden="false" customHeight="false" outlineLevel="0" collapsed="false">
      <c r="A251" s="32" t="s">
        <v>517</v>
      </c>
      <c r="B251" s="32" t="s">
        <v>23</v>
      </c>
      <c r="C251" s="32" t="s">
        <v>518</v>
      </c>
      <c r="D251" s="32" t="s">
        <v>253</v>
      </c>
      <c r="E251" s="33" t="n">
        <v>8430942021573</v>
      </c>
      <c r="F251" s="33" t="n">
        <v>1</v>
      </c>
      <c r="G251" s="34" t="n">
        <v>26.0295</v>
      </c>
      <c r="H251" s="33" t="n">
        <v>69</v>
      </c>
      <c r="I251" s="34" t="n">
        <f aca="false">G251*((100-H251)/100)</f>
        <v>8.069145</v>
      </c>
      <c r="J251" s="35"/>
      <c r="K251" s="36" t="n">
        <f aca="false">+F251*J251</f>
        <v>0</v>
      </c>
      <c r="L251" s="37" t="n">
        <f aca="false">I251*K251</f>
        <v>0</v>
      </c>
    </row>
    <row r="252" customFormat="false" ht="15" hidden="false" customHeight="false" outlineLevel="0" collapsed="false">
      <c r="A252" s="32" t="s">
        <v>519</v>
      </c>
      <c r="B252" s="32" t="s">
        <v>23</v>
      </c>
      <c r="C252" s="32" t="s">
        <v>520</v>
      </c>
      <c r="D252" s="32" t="s">
        <v>253</v>
      </c>
      <c r="E252" s="33" t="n">
        <v>8430942007119</v>
      </c>
      <c r="F252" s="33" t="n">
        <v>1</v>
      </c>
      <c r="G252" s="34" t="n">
        <v>26.0295</v>
      </c>
      <c r="H252" s="33" t="n">
        <v>69</v>
      </c>
      <c r="I252" s="34" t="n">
        <f aca="false">G252*((100-H252)/100)</f>
        <v>8.069145</v>
      </c>
      <c r="J252" s="35"/>
      <c r="K252" s="36" t="n">
        <f aca="false">+F252*J252</f>
        <v>0</v>
      </c>
      <c r="L252" s="37" t="n">
        <f aca="false">I252*K252</f>
        <v>0</v>
      </c>
    </row>
    <row r="253" customFormat="false" ht="15" hidden="false" customHeight="false" outlineLevel="0" collapsed="false">
      <c r="A253" s="32" t="s">
        <v>521</v>
      </c>
      <c r="B253" s="32" t="s">
        <v>23</v>
      </c>
      <c r="C253" s="32" t="s">
        <v>522</v>
      </c>
      <c r="D253" s="32" t="s">
        <v>253</v>
      </c>
      <c r="E253" s="33" t="n">
        <v>8430942016982</v>
      </c>
      <c r="F253" s="33" t="n">
        <v>1</v>
      </c>
      <c r="G253" s="34" t="n">
        <v>36.0675</v>
      </c>
      <c r="H253" s="33" t="n">
        <v>69</v>
      </c>
      <c r="I253" s="34" t="n">
        <f aca="false">G253*((100-H253)/100)</f>
        <v>11.180925</v>
      </c>
      <c r="J253" s="35"/>
      <c r="K253" s="36" t="n">
        <f aca="false">+F253*J253</f>
        <v>0</v>
      </c>
      <c r="L253" s="37" t="n">
        <f aca="false">I253*K253</f>
        <v>0</v>
      </c>
    </row>
    <row r="254" customFormat="false" ht="15" hidden="false" customHeight="false" outlineLevel="0" collapsed="false">
      <c r="A254" s="32" t="s">
        <v>523</v>
      </c>
      <c r="B254" s="32" t="s">
        <v>23</v>
      </c>
      <c r="C254" s="32" t="s">
        <v>524</v>
      </c>
      <c r="D254" s="32" t="s">
        <v>253</v>
      </c>
      <c r="E254" s="33" t="n">
        <v>8430942033989</v>
      </c>
      <c r="F254" s="33" t="n">
        <v>1</v>
      </c>
      <c r="G254" s="34" t="n">
        <v>36.0675</v>
      </c>
      <c r="H254" s="33" t="n">
        <v>69</v>
      </c>
      <c r="I254" s="34" t="n">
        <f aca="false">G254*((100-H254)/100)</f>
        <v>11.180925</v>
      </c>
      <c r="J254" s="35"/>
      <c r="K254" s="36" t="n">
        <f aca="false">+F254*J254</f>
        <v>0</v>
      </c>
      <c r="L254" s="37" t="n">
        <f aca="false">I254*K254</f>
        <v>0</v>
      </c>
    </row>
    <row r="255" customFormat="false" ht="15" hidden="false" customHeight="false" outlineLevel="0" collapsed="false">
      <c r="A255" s="32" t="s">
        <v>525</v>
      </c>
      <c r="B255" s="32" t="s">
        <v>23</v>
      </c>
      <c r="C255" s="32" t="s">
        <v>526</v>
      </c>
      <c r="D255" s="32" t="s">
        <v>253</v>
      </c>
      <c r="E255" s="33" t="n">
        <v>8430942007126</v>
      </c>
      <c r="F255" s="33" t="n">
        <v>1</v>
      </c>
      <c r="G255" s="34" t="n">
        <v>36.0675</v>
      </c>
      <c r="H255" s="33" t="n">
        <v>69</v>
      </c>
      <c r="I255" s="34" t="n">
        <f aca="false">G255*((100-H255)/100)</f>
        <v>11.180925</v>
      </c>
      <c r="J255" s="35"/>
      <c r="K255" s="36" t="n">
        <f aca="false">+F255*J255</f>
        <v>0</v>
      </c>
      <c r="L255" s="37" t="n">
        <f aca="false">I255*K255</f>
        <v>0</v>
      </c>
    </row>
    <row r="256" customFormat="false" ht="15" hidden="false" customHeight="false" outlineLevel="0" collapsed="false">
      <c r="A256" s="32" t="s">
        <v>527</v>
      </c>
      <c r="B256" s="32" t="s">
        <v>23</v>
      </c>
      <c r="C256" s="32" t="s">
        <v>528</v>
      </c>
      <c r="D256" s="32" t="s">
        <v>253</v>
      </c>
      <c r="E256" s="33" t="n">
        <v>8430942021481</v>
      </c>
      <c r="F256" s="33" t="n">
        <v>1</v>
      </c>
      <c r="G256" s="34" t="n">
        <v>49.6335</v>
      </c>
      <c r="H256" s="33" t="n">
        <v>69</v>
      </c>
      <c r="I256" s="34" t="n">
        <f aca="false">G256*((100-H256)/100)</f>
        <v>15.386385</v>
      </c>
      <c r="J256" s="35"/>
      <c r="K256" s="36" t="n">
        <f aca="false">+F256*J256</f>
        <v>0</v>
      </c>
      <c r="L256" s="37" t="n">
        <f aca="false">I256*K256</f>
        <v>0</v>
      </c>
    </row>
    <row r="257" customFormat="false" ht="15" hidden="false" customHeight="false" outlineLevel="0" collapsed="false">
      <c r="A257" s="32" t="s">
        <v>529</v>
      </c>
      <c r="B257" s="32" t="s">
        <v>23</v>
      </c>
      <c r="C257" s="32" t="s">
        <v>530</v>
      </c>
      <c r="D257" s="32" t="s">
        <v>253</v>
      </c>
      <c r="E257" s="33" t="n">
        <v>8430942022457</v>
      </c>
      <c r="F257" s="33" t="n">
        <v>1</v>
      </c>
      <c r="G257" s="34" t="n">
        <v>59.9445</v>
      </c>
      <c r="H257" s="33" t="n">
        <v>69</v>
      </c>
      <c r="I257" s="34" t="n">
        <f aca="false">G257*((100-H257)/100)</f>
        <v>18.582795</v>
      </c>
      <c r="J257" s="35"/>
      <c r="K257" s="36" t="n">
        <f aca="false">+F257*J257</f>
        <v>0</v>
      </c>
      <c r="L257" s="37" t="n">
        <f aca="false">I257*K257</f>
        <v>0</v>
      </c>
    </row>
    <row r="258" customFormat="false" ht="15" hidden="false" customHeight="false" outlineLevel="0" collapsed="false">
      <c r="A258" s="32" t="s">
        <v>531</v>
      </c>
      <c r="B258" s="32" t="s">
        <v>23</v>
      </c>
      <c r="C258" s="32" t="s">
        <v>532</v>
      </c>
      <c r="D258" s="32" t="s">
        <v>253</v>
      </c>
      <c r="E258" s="33" t="n">
        <v>8430942043582</v>
      </c>
      <c r="F258" s="33" t="n">
        <v>1</v>
      </c>
      <c r="G258" s="34" t="n">
        <v>23.8035</v>
      </c>
      <c r="H258" s="33" t="n">
        <v>69</v>
      </c>
      <c r="I258" s="34" t="n">
        <f aca="false">G258*((100-H258)/100)</f>
        <v>7.379085</v>
      </c>
      <c r="J258" s="35"/>
      <c r="K258" s="36" t="n">
        <f aca="false">+F258*J258</f>
        <v>0</v>
      </c>
      <c r="L258" s="37" t="n">
        <f aca="false">I258*K258</f>
        <v>0</v>
      </c>
    </row>
    <row r="259" customFormat="false" ht="15" hidden="false" customHeight="false" outlineLevel="0" collapsed="false">
      <c r="A259" s="32" t="s">
        <v>533</v>
      </c>
      <c r="B259" s="32" t="s">
        <v>23</v>
      </c>
      <c r="C259" s="32" t="s">
        <v>534</v>
      </c>
      <c r="D259" s="32" t="s">
        <v>253</v>
      </c>
      <c r="E259" s="33" t="n">
        <v>8430942043537</v>
      </c>
      <c r="F259" s="33" t="n">
        <v>1</v>
      </c>
      <c r="G259" s="34" t="n">
        <v>23.8035</v>
      </c>
      <c r="H259" s="33" t="n">
        <v>69</v>
      </c>
      <c r="I259" s="34" t="n">
        <f aca="false">G259*((100-H259)/100)</f>
        <v>7.379085</v>
      </c>
      <c r="J259" s="35"/>
      <c r="K259" s="36" t="n">
        <f aca="false">+F259*J259</f>
        <v>0</v>
      </c>
      <c r="L259" s="37" t="n">
        <f aca="false">I259*K259</f>
        <v>0</v>
      </c>
    </row>
    <row r="260" customFormat="false" ht="15" hidden="false" customHeight="false" outlineLevel="0" collapsed="false">
      <c r="A260" s="32" t="s">
        <v>535</v>
      </c>
      <c r="B260" s="32" t="s">
        <v>23</v>
      </c>
      <c r="C260" s="32" t="s">
        <v>536</v>
      </c>
      <c r="D260" s="32" t="s">
        <v>253</v>
      </c>
      <c r="E260" s="33" t="n">
        <v>8430942043520</v>
      </c>
      <c r="F260" s="33" t="n">
        <v>1</v>
      </c>
      <c r="G260" s="34" t="n">
        <v>23.8035</v>
      </c>
      <c r="H260" s="33" t="n">
        <v>69</v>
      </c>
      <c r="I260" s="34" t="n">
        <f aca="false">G260*((100-H260)/100)</f>
        <v>7.379085</v>
      </c>
      <c r="J260" s="35"/>
      <c r="K260" s="36" t="n">
        <f aca="false">+F260*J260</f>
        <v>0</v>
      </c>
      <c r="L260" s="37" t="n">
        <f aca="false">I260*K260</f>
        <v>0</v>
      </c>
    </row>
    <row r="261" customFormat="false" ht="15" hidden="false" customHeight="false" outlineLevel="0" collapsed="false">
      <c r="A261" s="32" t="s">
        <v>537</v>
      </c>
      <c r="B261" s="32" t="s">
        <v>23</v>
      </c>
      <c r="C261" s="32" t="s">
        <v>538</v>
      </c>
      <c r="D261" s="32" t="s">
        <v>253</v>
      </c>
      <c r="E261" s="33" t="n">
        <v>8430942043551</v>
      </c>
      <c r="F261" s="33" t="n">
        <v>1</v>
      </c>
      <c r="G261" s="34" t="n">
        <v>26.0295</v>
      </c>
      <c r="H261" s="33" t="n">
        <v>69</v>
      </c>
      <c r="I261" s="34" t="n">
        <f aca="false">G261*((100-H261)/100)</f>
        <v>8.069145</v>
      </c>
      <c r="J261" s="35"/>
      <c r="K261" s="36" t="n">
        <f aca="false">+F261*J261</f>
        <v>0</v>
      </c>
      <c r="L261" s="37" t="n">
        <f aca="false">I261*K261</f>
        <v>0</v>
      </c>
    </row>
    <row r="262" customFormat="false" ht="15" hidden="false" customHeight="false" outlineLevel="0" collapsed="false">
      <c r="A262" s="32" t="s">
        <v>539</v>
      </c>
      <c r="B262" s="32" t="s">
        <v>23</v>
      </c>
      <c r="C262" s="32" t="s">
        <v>540</v>
      </c>
      <c r="D262" s="32" t="s">
        <v>253</v>
      </c>
      <c r="E262" s="33" t="n">
        <v>8430942043544</v>
      </c>
      <c r="F262" s="33" t="n">
        <v>1</v>
      </c>
      <c r="G262" s="34" t="n">
        <v>26.0295</v>
      </c>
      <c r="H262" s="33" t="n">
        <v>69</v>
      </c>
      <c r="I262" s="34" t="n">
        <f aca="false">G262*((100-H262)/100)</f>
        <v>8.069145</v>
      </c>
      <c r="J262" s="35"/>
      <c r="K262" s="36" t="n">
        <f aca="false">+F262*J262</f>
        <v>0</v>
      </c>
      <c r="L262" s="37" t="n">
        <f aca="false">I262*K262</f>
        <v>0</v>
      </c>
    </row>
    <row r="263" customFormat="false" ht="15" hidden="false" customHeight="false" outlineLevel="0" collapsed="false">
      <c r="A263" s="32" t="s">
        <v>541</v>
      </c>
      <c r="B263" s="32" t="s">
        <v>23</v>
      </c>
      <c r="C263" s="32" t="s">
        <v>542</v>
      </c>
      <c r="D263" s="32" t="s">
        <v>253</v>
      </c>
      <c r="E263" s="33" t="n">
        <v>8430942043568</v>
      </c>
      <c r="F263" s="33" t="n">
        <v>1</v>
      </c>
      <c r="G263" s="34" t="n">
        <v>36.0675</v>
      </c>
      <c r="H263" s="33" t="n">
        <v>69</v>
      </c>
      <c r="I263" s="34" t="n">
        <f aca="false">G263*((100-H263)/100)</f>
        <v>11.180925</v>
      </c>
      <c r="J263" s="35"/>
      <c r="K263" s="36" t="n">
        <f aca="false">+F263*J263</f>
        <v>0</v>
      </c>
      <c r="L263" s="37" t="n">
        <f aca="false">I263*K263</f>
        <v>0</v>
      </c>
    </row>
    <row r="264" customFormat="false" ht="15" hidden="false" customHeight="false" outlineLevel="0" collapsed="false">
      <c r="A264" s="44" t="s">
        <v>543</v>
      </c>
      <c r="B264" s="32" t="s">
        <v>23</v>
      </c>
      <c r="C264" s="32" t="s">
        <v>544</v>
      </c>
      <c r="D264" s="32" t="s">
        <v>253</v>
      </c>
      <c r="E264" s="33" t="n">
        <v>8430942045739</v>
      </c>
      <c r="F264" s="33" t="n">
        <v>1</v>
      </c>
      <c r="G264" s="34" t="n">
        <v>36.0675</v>
      </c>
      <c r="H264" s="33" t="n">
        <v>69</v>
      </c>
      <c r="I264" s="34" t="n">
        <f aca="false">G264*((100-H264)/100)</f>
        <v>11.180925</v>
      </c>
      <c r="J264" s="35"/>
      <c r="K264" s="36" t="n">
        <f aca="false">+F264*J264</f>
        <v>0</v>
      </c>
      <c r="L264" s="37" t="n">
        <f aca="false">I264*K264</f>
        <v>0</v>
      </c>
    </row>
    <row r="265" customFormat="false" ht="15" hidden="false" customHeight="false" outlineLevel="0" collapsed="false">
      <c r="A265" s="32" t="s">
        <v>545</v>
      </c>
      <c r="B265" s="32" t="s">
        <v>23</v>
      </c>
      <c r="C265" s="32" t="s">
        <v>546</v>
      </c>
      <c r="D265" s="32" t="s">
        <v>253</v>
      </c>
      <c r="E265" s="33" t="n">
        <v>8430942044473</v>
      </c>
      <c r="F265" s="33" t="n">
        <v>1</v>
      </c>
      <c r="G265" s="34" t="n">
        <v>36.0675</v>
      </c>
      <c r="H265" s="33" t="n">
        <v>69</v>
      </c>
      <c r="I265" s="34" t="n">
        <f aca="false">G265*((100-H265)/100)</f>
        <v>11.180925</v>
      </c>
      <c r="J265" s="35"/>
      <c r="K265" s="36" t="n">
        <f aca="false">+F265*J265</f>
        <v>0</v>
      </c>
      <c r="L265" s="37" t="n">
        <f aca="false">I265*K265</f>
        <v>0</v>
      </c>
    </row>
    <row r="266" customFormat="false" ht="15" hidden="false" customHeight="false" outlineLevel="0" collapsed="false">
      <c r="A266" s="32" t="s">
        <v>547</v>
      </c>
      <c r="B266" s="32" t="s">
        <v>23</v>
      </c>
      <c r="C266" s="32" t="s">
        <v>548</v>
      </c>
      <c r="D266" s="32" t="s">
        <v>253</v>
      </c>
      <c r="E266" s="33" t="n">
        <v>8430942045326</v>
      </c>
      <c r="F266" s="33" t="n">
        <v>1</v>
      </c>
      <c r="G266" s="34" t="n">
        <v>49.6335</v>
      </c>
      <c r="H266" s="33" t="n">
        <v>69</v>
      </c>
      <c r="I266" s="34" t="n">
        <f aca="false">G266*((100-H266)/100)</f>
        <v>15.386385</v>
      </c>
      <c r="J266" s="35"/>
      <c r="K266" s="36" t="n">
        <f aca="false">+F266*J266</f>
        <v>0</v>
      </c>
      <c r="L266" s="37" t="n">
        <f aca="false">I266*K266</f>
        <v>0</v>
      </c>
    </row>
    <row r="267" customFormat="false" ht="15" hidden="false" customHeight="false" outlineLevel="0" collapsed="false">
      <c r="A267" s="44" t="s">
        <v>549</v>
      </c>
      <c r="B267" s="32" t="s">
        <v>23</v>
      </c>
      <c r="C267" s="32" t="s">
        <v>550</v>
      </c>
      <c r="D267" s="32" t="s">
        <v>253</v>
      </c>
      <c r="E267" s="33" t="n">
        <v>8430942045722</v>
      </c>
      <c r="F267" s="33" t="n">
        <v>1</v>
      </c>
      <c r="G267" s="34" t="n">
        <v>59.9445</v>
      </c>
      <c r="H267" s="33" t="n">
        <v>69</v>
      </c>
      <c r="I267" s="34" t="n">
        <f aca="false">G267*((100-H267)/100)</f>
        <v>18.582795</v>
      </c>
      <c r="J267" s="35"/>
      <c r="K267" s="36" t="n">
        <f aca="false">+F267*J267</f>
        <v>0</v>
      </c>
      <c r="L267" s="37" t="n">
        <f aca="false">I267*K267</f>
        <v>0</v>
      </c>
    </row>
    <row r="268" customFormat="false" ht="15" hidden="false" customHeight="false" outlineLevel="0" collapsed="false">
      <c r="A268" s="32" t="s">
        <v>551</v>
      </c>
      <c r="B268" s="32" t="s">
        <v>23</v>
      </c>
      <c r="C268" s="32" t="s">
        <v>552</v>
      </c>
      <c r="D268" s="32" t="s">
        <v>278</v>
      </c>
      <c r="E268" s="33" t="n">
        <v>8430942331795</v>
      </c>
      <c r="F268" s="33" t="n">
        <v>10</v>
      </c>
      <c r="G268" s="34" t="n">
        <v>19.37</v>
      </c>
      <c r="H268" s="33" t="n">
        <v>69</v>
      </c>
      <c r="I268" s="34" t="n">
        <f aca="false">G268*((100-H268)/100)</f>
        <v>6.0047</v>
      </c>
      <c r="J268" s="35"/>
      <c r="K268" s="36" t="n">
        <f aca="false">+F268*J268</f>
        <v>0</v>
      </c>
      <c r="L268" s="37" t="n">
        <f aca="false">I268*K268</f>
        <v>0</v>
      </c>
    </row>
    <row r="269" customFormat="false" ht="15" hidden="false" customHeight="false" outlineLevel="0" collapsed="false">
      <c r="A269" s="38" t="s">
        <v>553</v>
      </c>
      <c r="B269" s="38" t="n">
        <v>660581</v>
      </c>
      <c r="C269" s="38" t="s">
        <v>554</v>
      </c>
      <c r="D269" s="38" t="s">
        <v>278</v>
      </c>
      <c r="E269" s="39" t="n">
        <v>8430942331801</v>
      </c>
      <c r="F269" s="39" t="n">
        <v>10</v>
      </c>
      <c r="G269" s="40" t="n">
        <v>19.3725</v>
      </c>
      <c r="H269" s="39" t="n">
        <v>69</v>
      </c>
      <c r="I269" s="40" t="n">
        <f aca="false">G269*((100-H269)/100)</f>
        <v>6.005475</v>
      </c>
      <c r="J269" s="41"/>
      <c r="K269" s="42" t="n">
        <f aca="false">+F269*J269</f>
        <v>0</v>
      </c>
      <c r="L269" s="43" t="n">
        <f aca="false">I269*K269</f>
        <v>0</v>
      </c>
    </row>
    <row r="270" customFormat="false" ht="15" hidden="false" customHeight="false" outlineLevel="0" collapsed="false">
      <c r="A270" s="38" t="s">
        <v>555</v>
      </c>
      <c r="B270" s="38" t="n">
        <v>660582</v>
      </c>
      <c r="C270" s="38" t="s">
        <v>556</v>
      </c>
      <c r="D270" s="38" t="s">
        <v>278</v>
      </c>
      <c r="E270" s="39" t="n">
        <v>8430942331818</v>
      </c>
      <c r="F270" s="39" t="n">
        <v>10</v>
      </c>
      <c r="G270" s="40" t="n">
        <v>19.7085</v>
      </c>
      <c r="H270" s="39" t="n">
        <v>69</v>
      </c>
      <c r="I270" s="40" t="n">
        <f aca="false">G270*((100-H270)/100)</f>
        <v>6.109635</v>
      </c>
      <c r="J270" s="41"/>
      <c r="K270" s="42" t="n">
        <f aca="false">+F270*J270</f>
        <v>0</v>
      </c>
      <c r="L270" s="43" t="n">
        <f aca="false">I270*K270</f>
        <v>0</v>
      </c>
    </row>
    <row r="271" customFormat="false" ht="15" hidden="false" customHeight="false" outlineLevel="0" collapsed="false">
      <c r="A271" s="32" t="s">
        <v>557</v>
      </c>
      <c r="B271" s="32" t="s">
        <v>23</v>
      </c>
      <c r="C271" s="32" t="s">
        <v>558</v>
      </c>
      <c r="D271" s="32" t="s">
        <v>278</v>
      </c>
      <c r="E271" s="33" t="n">
        <v>8430942331825</v>
      </c>
      <c r="F271" s="33" t="n">
        <v>10</v>
      </c>
      <c r="G271" s="34" t="n">
        <v>19.7085</v>
      </c>
      <c r="H271" s="33" t="n">
        <v>69</v>
      </c>
      <c r="I271" s="34" t="n">
        <f aca="false">G271*((100-H271)/100)</f>
        <v>6.109635</v>
      </c>
      <c r="J271" s="35"/>
      <c r="K271" s="36" t="n">
        <f aca="false">+F271*J271</f>
        <v>0</v>
      </c>
      <c r="L271" s="37" t="n">
        <f aca="false">I271*K271</f>
        <v>0</v>
      </c>
    </row>
    <row r="272" customFormat="false" ht="15" hidden="false" customHeight="false" outlineLevel="0" collapsed="false">
      <c r="A272" s="32" t="s">
        <v>559</v>
      </c>
      <c r="B272" s="32" t="s">
        <v>23</v>
      </c>
      <c r="C272" s="32" t="s">
        <v>560</v>
      </c>
      <c r="D272" s="32" t="s">
        <v>278</v>
      </c>
      <c r="E272" s="33" t="n">
        <v>8430942331849</v>
      </c>
      <c r="F272" s="33" t="n">
        <v>10</v>
      </c>
      <c r="G272" s="34" t="n">
        <v>23.1</v>
      </c>
      <c r="H272" s="33" t="n">
        <v>69</v>
      </c>
      <c r="I272" s="34" t="n">
        <f aca="false">G272*((100-H272)/100)</f>
        <v>7.161</v>
      </c>
      <c r="J272" s="35"/>
      <c r="K272" s="36" t="n">
        <f aca="false">+F272*J272</f>
        <v>0</v>
      </c>
      <c r="L272" s="37" t="n">
        <f aca="false">I272*K272</f>
        <v>0</v>
      </c>
    </row>
    <row r="273" customFormat="false" ht="15" hidden="false" customHeight="false" outlineLevel="0" collapsed="false">
      <c r="A273" s="32" t="s">
        <v>561</v>
      </c>
      <c r="B273" s="32" t="s">
        <v>23</v>
      </c>
      <c r="C273" s="32" t="s">
        <v>562</v>
      </c>
      <c r="D273" s="32" t="s">
        <v>278</v>
      </c>
      <c r="E273" s="33" t="n">
        <v>8430942331856</v>
      </c>
      <c r="F273" s="33" t="n">
        <v>10</v>
      </c>
      <c r="G273" s="34" t="n">
        <v>24.066</v>
      </c>
      <c r="H273" s="33" t="n">
        <v>69</v>
      </c>
      <c r="I273" s="34" t="n">
        <f aca="false">G273*((100-H273)/100)</f>
        <v>7.46046</v>
      </c>
      <c r="J273" s="35"/>
      <c r="K273" s="36" t="n">
        <f aca="false">+F273*J273</f>
        <v>0</v>
      </c>
      <c r="L273" s="37" t="n">
        <f aca="false">I273*K273</f>
        <v>0</v>
      </c>
    </row>
    <row r="274" customFormat="false" ht="15" hidden="false" customHeight="false" outlineLevel="0" collapsed="false">
      <c r="A274" s="32" t="s">
        <v>563</v>
      </c>
      <c r="B274" s="32" t="s">
        <v>23</v>
      </c>
      <c r="C274" s="32" t="s">
        <v>564</v>
      </c>
      <c r="D274" s="32" t="s">
        <v>278</v>
      </c>
      <c r="E274" s="33" t="n">
        <v>8430942331863</v>
      </c>
      <c r="F274" s="33" t="n">
        <v>10</v>
      </c>
      <c r="G274" s="34" t="n">
        <v>25.683</v>
      </c>
      <c r="H274" s="33" t="n">
        <v>69</v>
      </c>
      <c r="I274" s="34" t="n">
        <f aca="false">G274*((100-H274)/100)</f>
        <v>7.96173</v>
      </c>
      <c r="J274" s="35"/>
      <c r="K274" s="36" t="n">
        <f aca="false">+F274*J274</f>
        <v>0</v>
      </c>
      <c r="L274" s="37" t="n">
        <f aca="false">I274*K274</f>
        <v>0</v>
      </c>
    </row>
    <row r="275" customFormat="false" ht="15" hidden="false" customHeight="false" outlineLevel="0" collapsed="false">
      <c r="A275" s="32" t="s">
        <v>565</v>
      </c>
      <c r="B275" s="32" t="s">
        <v>23</v>
      </c>
      <c r="C275" s="32" t="s">
        <v>566</v>
      </c>
      <c r="D275" s="32" t="s">
        <v>278</v>
      </c>
      <c r="E275" s="33" t="n">
        <v>8430942331870</v>
      </c>
      <c r="F275" s="33" t="n">
        <v>10</v>
      </c>
      <c r="G275" s="34" t="n">
        <v>25.683</v>
      </c>
      <c r="H275" s="33" t="n">
        <v>69</v>
      </c>
      <c r="I275" s="34" t="n">
        <f aca="false">G275*((100-H275)/100)</f>
        <v>7.96173</v>
      </c>
      <c r="J275" s="35"/>
      <c r="K275" s="36" t="n">
        <f aca="false">+F275*J275</f>
        <v>0</v>
      </c>
      <c r="L275" s="37" t="n">
        <f aca="false">I275*K275</f>
        <v>0</v>
      </c>
    </row>
    <row r="276" customFormat="false" ht="15" hidden="false" customHeight="false" outlineLevel="0" collapsed="false">
      <c r="A276" s="32" t="s">
        <v>567</v>
      </c>
      <c r="B276" s="32" t="s">
        <v>23</v>
      </c>
      <c r="C276" s="32" t="s">
        <v>568</v>
      </c>
      <c r="D276" s="32" t="s">
        <v>278</v>
      </c>
      <c r="E276" s="33" t="n">
        <v>8430942331887</v>
      </c>
      <c r="F276" s="33" t="n">
        <v>10</v>
      </c>
      <c r="G276" s="34" t="n">
        <v>27.699</v>
      </c>
      <c r="H276" s="33" t="n">
        <v>69</v>
      </c>
      <c r="I276" s="34" t="n">
        <f aca="false">G276*((100-H276)/100)</f>
        <v>8.58669</v>
      </c>
      <c r="J276" s="35"/>
      <c r="K276" s="36" t="n">
        <f aca="false">+F276*J276</f>
        <v>0</v>
      </c>
      <c r="L276" s="37" t="n">
        <f aca="false">I276*K276</f>
        <v>0</v>
      </c>
    </row>
    <row r="277" customFormat="false" ht="15" hidden="false" customHeight="false" outlineLevel="0" collapsed="false">
      <c r="A277" s="32" t="s">
        <v>569</v>
      </c>
      <c r="B277" s="32" t="s">
        <v>23</v>
      </c>
      <c r="C277" s="32" t="s">
        <v>570</v>
      </c>
      <c r="D277" s="32" t="s">
        <v>571</v>
      </c>
      <c r="E277" s="33" t="n">
        <v>8430942326753</v>
      </c>
      <c r="F277" s="33" t="n">
        <v>1</v>
      </c>
      <c r="G277" s="34" t="n">
        <v>21.693</v>
      </c>
      <c r="H277" s="33" t="n">
        <v>69</v>
      </c>
      <c r="I277" s="34" t="n">
        <f aca="false">G277*((100-H277)/100)</f>
        <v>6.72483</v>
      </c>
      <c r="J277" s="35"/>
      <c r="K277" s="36" t="n">
        <f aca="false">+F277*J277</f>
        <v>0</v>
      </c>
      <c r="L277" s="37" t="n">
        <f aca="false">I277*K277</f>
        <v>0</v>
      </c>
    </row>
    <row r="278" customFormat="false" ht="15" hidden="false" customHeight="false" outlineLevel="0" collapsed="false">
      <c r="A278" s="32" t="s">
        <v>572</v>
      </c>
      <c r="B278" s="32" t="s">
        <v>23</v>
      </c>
      <c r="C278" s="32" t="s">
        <v>573</v>
      </c>
      <c r="D278" s="32" t="s">
        <v>571</v>
      </c>
      <c r="E278" s="33" t="n">
        <v>8430942326760</v>
      </c>
      <c r="F278" s="33" t="n">
        <v>1</v>
      </c>
      <c r="G278" s="34" t="n">
        <v>22.1235</v>
      </c>
      <c r="H278" s="33" t="n">
        <v>69</v>
      </c>
      <c r="I278" s="34" t="n">
        <f aca="false">G278*((100-H278)/100)</f>
        <v>6.858285</v>
      </c>
      <c r="J278" s="35"/>
      <c r="K278" s="36" t="n">
        <f aca="false">+F278*J278</f>
        <v>0</v>
      </c>
      <c r="L278" s="37" t="n">
        <f aca="false">I278*K278</f>
        <v>0</v>
      </c>
    </row>
    <row r="279" customFormat="false" ht="15" hidden="false" customHeight="false" outlineLevel="0" collapsed="false">
      <c r="A279" s="32" t="s">
        <v>574</v>
      </c>
      <c r="B279" s="32" t="s">
        <v>23</v>
      </c>
      <c r="C279" s="32" t="s">
        <v>575</v>
      </c>
      <c r="D279" s="32" t="s">
        <v>571</v>
      </c>
      <c r="E279" s="33" t="n">
        <v>8430942326777</v>
      </c>
      <c r="F279" s="33" t="n">
        <v>1</v>
      </c>
      <c r="G279" s="34" t="n">
        <v>23.331</v>
      </c>
      <c r="H279" s="33" t="n">
        <v>69</v>
      </c>
      <c r="I279" s="34" t="n">
        <f aca="false">G279*((100-H279)/100)</f>
        <v>7.23261</v>
      </c>
      <c r="J279" s="35"/>
      <c r="K279" s="36" t="n">
        <f aca="false">+F279*J279</f>
        <v>0</v>
      </c>
      <c r="L279" s="37" t="n">
        <f aca="false">I279*K279</f>
        <v>0</v>
      </c>
    </row>
    <row r="280" customFormat="false" ht="15" hidden="false" customHeight="false" outlineLevel="0" collapsed="false">
      <c r="A280" s="32" t="s">
        <v>576</v>
      </c>
      <c r="B280" s="32" t="s">
        <v>23</v>
      </c>
      <c r="C280" s="32" t="s">
        <v>577</v>
      </c>
      <c r="D280" s="32" t="s">
        <v>571</v>
      </c>
      <c r="E280" s="33" t="n">
        <v>8430942326807</v>
      </c>
      <c r="F280" s="33" t="n">
        <v>1</v>
      </c>
      <c r="G280" s="34" t="n">
        <v>23.9715</v>
      </c>
      <c r="H280" s="33" t="n">
        <v>69</v>
      </c>
      <c r="I280" s="34" t="n">
        <f aca="false">G280*((100-H280)/100)</f>
        <v>7.431165</v>
      </c>
      <c r="J280" s="35"/>
      <c r="K280" s="36" t="n">
        <f aca="false">+F280*J280</f>
        <v>0</v>
      </c>
      <c r="L280" s="37" t="n">
        <f aca="false">I280*K280</f>
        <v>0</v>
      </c>
    </row>
    <row r="281" customFormat="false" ht="15" hidden="false" customHeight="false" outlineLevel="0" collapsed="false">
      <c r="A281" s="32" t="s">
        <v>578</v>
      </c>
      <c r="B281" s="32" t="s">
        <v>23</v>
      </c>
      <c r="C281" s="32" t="s">
        <v>579</v>
      </c>
      <c r="D281" s="32" t="s">
        <v>571</v>
      </c>
      <c r="E281" s="33" t="n">
        <v>8430942326821</v>
      </c>
      <c r="F281" s="33" t="n">
        <v>1</v>
      </c>
      <c r="G281" s="34" t="n">
        <v>26.2605</v>
      </c>
      <c r="H281" s="33" t="n">
        <v>69</v>
      </c>
      <c r="I281" s="34" t="n">
        <f aca="false">G281*((100-H281)/100)</f>
        <v>8.140755</v>
      </c>
      <c r="J281" s="35"/>
      <c r="K281" s="36" t="n">
        <f aca="false">+F281*J281</f>
        <v>0</v>
      </c>
      <c r="L281" s="37" t="n">
        <f aca="false">I281*K281</f>
        <v>0</v>
      </c>
    </row>
    <row r="282" customFormat="false" ht="15" hidden="false" customHeight="false" outlineLevel="0" collapsed="false">
      <c r="A282" s="32" t="s">
        <v>580</v>
      </c>
      <c r="B282" s="32" t="s">
        <v>23</v>
      </c>
      <c r="C282" s="32" t="s">
        <v>581</v>
      </c>
      <c r="D282" s="32" t="s">
        <v>571</v>
      </c>
      <c r="E282" s="33" t="n">
        <v>8430942326838</v>
      </c>
      <c r="F282" s="33" t="n">
        <v>1</v>
      </c>
      <c r="G282" s="34" t="n">
        <v>26.2605</v>
      </c>
      <c r="H282" s="33" t="n">
        <v>69</v>
      </c>
      <c r="I282" s="34" t="n">
        <f aca="false">G282*((100-H282)/100)</f>
        <v>8.140755</v>
      </c>
      <c r="J282" s="35"/>
      <c r="K282" s="36" t="n">
        <f aca="false">+F282*J282</f>
        <v>0</v>
      </c>
      <c r="L282" s="37" t="n">
        <f aca="false">I282*K282</f>
        <v>0</v>
      </c>
    </row>
    <row r="283" customFormat="false" ht="15" hidden="false" customHeight="false" outlineLevel="0" collapsed="false">
      <c r="A283" s="32" t="s">
        <v>582</v>
      </c>
      <c r="B283" s="32" t="s">
        <v>23</v>
      </c>
      <c r="C283" s="32" t="s">
        <v>583</v>
      </c>
      <c r="D283" s="32" t="s">
        <v>571</v>
      </c>
      <c r="E283" s="33" t="n">
        <v>8430942326852</v>
      </c>
      <c r="F283" s="33" t="n">
        <v>1</v>
      </c>
      <c r="G283" s="34" t="n">
        <v>34.776</v>
      </c>
      <c r="H283" s="33" t="n">
        <v>69</v>
      </c>
      <c r="I283" s="34" t="n">
        <f aca="false">G283*((100-H283)/100)</f>
        <v>10.78056</v>
      </c>
      <c r="J283" s="35"/>
      <c r="K283" s="36" t="n">
        <f aca="false">+F283*J283</f>
        <v>0</v>
      </c>
      <c r="L283" s="37" t="n">
        <f aca="false">I283*K283</f>
        <v>0</v>
      </c>
    </row>
    <row r="284" customFormat="false" ht="15" hidden="false" customHeight="false" outlineLevel="0" collapsed="false">
      <c r="A284" s="32" t="s">
        <v>584</v>
      </c>
      <c r="B284" s="32" t="s">
        <v>23</v>
      </c>
      <c r="C284" s="32" t="s">
        <v>585</v>
      </c>
      <c r="D284" s="32" t="s">
        <v>571</v>
      </c>
      <c r="E284" s="33" t="n">
        <v>8430942326869</v>
      </c>
      <c r="F284" s="33" t="n">
        <v>1</v>
      </c>
      <c r="G284" s="34" t="n">
        <v>38.1255</v>
      </c>
      <c r="H284" s="33" t="n">
        <v>69</v>
      </c>
      <c r="I284" s="34" t="n">
        <f aca="false">G284*((100-H284)/100)</f>
        <v>11.818905</v>
      </c>
      <c r="J284" s="35"/>
      <c r="K284" s="36" t="n">
        <f aca="false">+F284*J284</f>
        <v>0</v>
      </c>
      <c r="L284" s="37" t="n">
        <f aca="false">I284*K284</f>
        <v>0</v>
      </c>
    </row>
    <row r="285" customFormat="false" ht="15" hidden="false" customHeight="false" outlineLevel="0" collapsed="false">
      <c r="A285" s="32" t="s">
        <v>586</v>
      </c>
      <c r="B285" s="32" t="s">
        <v>23</v>
      </c>
      <c r="C285" s="32" t="s">
        <v>587</v>
      </c>
      <c r="D285" s="32" t="s">
        <v>588</v>
      </c>
      <c r="E285" s="33" t="n">
        <v>8430942326883</v>
      </c>
      <c r="F285" s="33" t="n">
        <v>1</v>
      </c>
      <c r="G285" s="34" t="n">
        <v>19.33</v>
      </c>
      <c r="H285" s="33" t="n">
        <v>69</v>
      </c>
      <c r="I285" s="34" t="n">
        <f aca="false">G285*((100-H285)/100)</f>
        <v>5.9923</v>
      </c>
      <c r="J285" s="35"/>
      <c r="K285" s="36" t="n">
        <f aca="false">+F285*J285</f>
        <v>0</v>
      </c>
      <c r="L285" s="37" t="n">
        <f aca="false">I285*K285</f>
        <v>0</v>
      </c>
    </row>
    <row r="286" customFormat="false" ht="15" hidden="false" customHeight="false" outlineLevel="0" collapsed="false">
      <c r="A286" s="32" t="s">
        <v>589</v>
      </c>
      <c r="B286" s="32" t="s">
        <v>23</v>
      </c>
      <c r="C286" s="32" t="s">
        <v>590</v>
      </c>
      <c r="D286" s="32" t="s">
        <v>588</v>
      </c>
      <c r="E286" s="33" t="n">
        <v>8430942326890</v>
      </c>
      <c r="F286" s="33" t="n">
        <v>1</v>
      </c>
      <c r="G286" s="34" t="n">
        <v>19.3305</v>
      </c>
      <c r="H286" s="33" t="n">
        <v>69</v>
      </c>
      <c r="I286" s="34" t="n">
        <f aca="false">G286*((100-H286)/100)</f>
        <v>5.992455</v>
      </c>
      <c r="J286" s="35"/>
      <c r="K286" s="36" t="n">
        <f aca="false">+F286*J286</f>
        <v>0</v>
      </c>
      <c r="L286" s="37" t="n">
        <f aca="false">I286*K286</f>
        <v>0</v>
      </c>
    </row>
    <row r="287" customFormat="false" ht="15" hidden="false" customHeight="false" outlineLevel="0" collapsed="false">
      <c r="A287" s="32" t="s">
        <v>591</v>
      </c>
      <c r="B287" s="32" t="s">
        <v>23</v>
      </c>
      <c r="C287" s="32" t="s">
        <v>592</v>
      </c>
      <c r="D287" s="32" t="s">
        <v>588</v>
      </c>
      <c r="E287" s="33" t="n">
        <v>8430942326906</v>
      </c>
      <c r="F287" s="33" t="n">
        <v>1</v>
      </c>
      <c r="G287" s="34" t="n">
        <v>20.0025</v>
      </c>
      <c r="H287" s="33" t="n">
        <v>69</v>
      </c>
      <c r="I287" s="34" t="n">
        <f aca="false">G287*((100-H287)/100)</f>
        <v>6.200775</v>
      </c>
      <c r="J287" s="35"/>
      <c r="K287" s="36" t="n">
        <f aca="false">+F287*J287</f>
        <v>0</v>
      </c>
      <c r="L287" s="37" t="n">
        <f aca="false">I287*K287</f>
        <v>0</v>
      </c>
    </row>
    <row r="288" customFormat="false" ht="15" hidden="false" customHeight="false" outlineLevel="0" collapsed="false">
      <c r="A288" s="32" t="s">
        <v>593</v>
      </c>
      <c r="B288" s="32" t="s">
        <v>23</v>
      </c>
      <c r="C288" s="32" t="s">
        <v>594</v>
      </c>
      <c r="D288" s="32" t="s">
        <v>588</v>
      </c>
      <c r="E288" s="33" t="n">
        <v>8430942326913</v>
      </c>
      <c r="F288" s="33" t="n">
        <v>1</v>
      </c>
      <c r="G288" s="34" t="n">
        <v>21.8925</v>
      </c>
      <c r="H288" s="33" t="n">
        <v>69</v>
      </c>
      <c r="I288" s="34" t="n">
        <f aca="false">G288*((100-H288)/100)</f>
        <v>6.786675</v>
      </c>
      <c r="J288" s="35"/>
      <c r="K288" s="36" t="n">
        <f aca="false">+F288*J288</f>
        <v>0</v>
      </c>
      <c r="L288" s="37" t="n">
        <f aca="false">I288*K288</f>
        <v>0</v>
      </c>
    </row>
    <row r="289" customFormat="false" ht="15" hidden="false" customHeight="false" outlineLevel="0" collapsed="false">
      <c r="A289" s="32" t="s">
        <v>595</v>
      </c>
      <c r="B289" s="32" t="s">
        <v>23</v>
      </c>
      <c r="C289" s="32" t="s">
        <v>596</v>
      </c>
      <c r="D289" s="32" t="s">
        <v>588</v>
      </c>
      <c r="E289" s="33" t="n">
        <v>8430942326920</v>
      </c>
      <c r="F289" s="33" t="n">
        <v>1</v>
      </c>
      <c r="G289" s="34" t="n">
        <v>23.1</v>
      </c>
      <c r="H289" s="33" t="n">
        <v>69</v>
      </c>
      <c r="I289" s="34" t="n">
        <f aca="false">G289*((100-H289)/100)</f>
        <v>7.161</v>
      </c>
      <c r="J289" s="35"/>
      <c r="K289" s="36" t="n">
        <f aca="false">+F289*J289</f>
        <v>0</v>
      </c>
      <c r="L289" s="37" t="n">
        <f aca="false">I289*K289</f>
        <v>0</v>
      </c>
    </row>
    <row r="290" customFormat="false" ht="15" hidden="false" customHeight="false" outlineLevel="0" collapsed="false">
      <c r="A290" s="32" t="s">
        <v>597</v>
      </c>
      <c r="B290" s="32" t="s">
        <v>23</v>
      </c>
      <c r="C290" s="32" t="s">
        <v>598</v>
      </c>
      <c r="D290" s="32" t="s">
        <v>588</v>
      </c>
      <c r="E290" s="33" t="n">
        <v>8430942326937</v>
      </c>
      <c r="F290" s="33" t="n">
        <v>1</v>
      </c>
      <c r="G290" s="34" t="n">
        <v>23.1</v>
      </c>
      <c r="H290" s="33" t="n">
        <v>69</v>
      </c>
      <c r="I290" s="34" t="n">
        <f aca="false">G290*((100-H290)/100)</f>
        <v>7.161</v>
      </c>
      <c r="J290" s="35"/>
      <c r="K290" s="36" t="n">
        <f aca="false">+F290*J290</f>
        <v>0</v>
      </c>
      <c r="L290" s="37" t="n">
        <f aca="false">I290*K290</f>
        <v>0</v>
      </c>
    </row>
    <row r="291" customFormat="false" ht="15" hidden="false" customHeight="false" outlineLevel="0" collapsed="false">
      <c r="A291" s="32" t="s">
        <v>599</v>
      </c>
      <c r="B291" s="32" t="s">
        <v>23</v>
      </c>
      <c r="C291" s="32" t="s">
        <v>600</v>
      </c>
      <c r="D291" s="32" t="s">
        <v>588</v>
      </c>
      <c r="E291" s="33" t="n">
        <v>8430942326944</v>
      </c>
      <c r="F291" s="33" t="n">
        <v>1</v>
      </c>
      <c r="G291" s="34" t="n">
        <v>29.946</v>
      </c>
      <c r="H291" s="33" t="n">
        <v>69</v>
      </c>
      <c r="I291" s="34" t="n">
        <f aca="false">G291*((100-H291)/100)</f>
        <v>9.28326</v>
      </c>
      <c r="J291" s="35"/>
      <c r="K291" s="36" t="n">
        <f aca="false">+F291*J291</f>
        <v>0</v>
      </c>
      <c r="L291" s="37" t="n">
        <f aca="false">I291*K291</f>
        <v>0</v>
      </c>
    </row>
    <row r="292" customFormat="false" ht="15" hidden="false" customHeight="false" outlineLevel="0" collapsed="false">
      <c r="A292" s="32" t="s">
        <v>601</v>
      </c>
      <c r="B292" s="32" t="s">
        <v>23</v>
      </c>
      <c r="C292" s="32" t="s">
        <v>602</v>
      </c>
      <c r="D292" s="32" t="s">
        <v>588</v>
      </c>
      <c r="E292" s="33" t="n">
        <v>8430942326951</v>
      </c>
      <c r="F292" s="33" t="n">
        <v>1</v>
      </c>
      <c r="G292" s="34" t="n">
        <v>36.855</v>
      </c>
      <c r="H292" s="33" t="n">
        <v>69</v>
      </c>
      <c r="I292" s="34" t="n">
        <f aca="false">G292*((100-H292)/100)</f>
        <v>11.42505</v>
      </c>
      <c r="J292" s="35"/>
      <c r="K292" s="36" t="n">
        <f aca="false">+F292*J292</f>
        <v>0</v>
      </c>
      <c r="L292" s="37" t="n">
        <f aca="false">I292*K292</f>
        <v>0</v>
      </c>
    </row>
    <row r="293" customFormat="false" ht="15" hidden="false" customHeight="false" outlineLevel="0" collapsed="false">
      <c r="A293" s="32" t="s">
        <v>603</v>
      </c>
      <c r="B293" s="32" t="s">
        <v>23</v>
      </c>
      <c r="C293" s="32" t="s">
        <v>604</v>
      </c>
      <c r="D293" s="32" t="s">
        <v>291</v>
      </c>
      <c r="E293" s="33" t="n">
        <v>8430942007911</v>
      </c>
      <c r="F293" s="33" t="n">
        <v>1</v>
      </c>
      <c r="G293" s="34" t="n">
        <v>36.036</v>
      </c>
      <c r="H293" s="33" t="n">
        <v>69</v>
      </c>
      <c r="I293" s="34" t="n">
        <f aca="false">G293*((100-H293)/100)</f>
        <v>11.17116</v>
      </c>
      <c r="J293" s="35"/>
      <c r="K293" s="36" t="n">
        <f aca="false">+F293*J293</f>
        <v>0</v>
      </c>
      <c r="L293" s="37" t="n">
        <f aca="false">I293*K293</f>
        <v>0</v>
      </c>
    </row>
    <row r="294" customFormat="false" ht="15" hidden="false" customHeight="false" outlineLevel="0" collapsed="false">
      <c r="A294" s="32" t="s">
        <v>605</v>
      </c>
      <c r="B294" s="32" t="s">
        <v>23</v>
      </c>
      <c r="C294" s="32" t="s">
        <v>606</v>
      </c>
      <c r="D294" s="32" t="s">
        <v>291</v>
      </c>
      <c r="E294" s="33" t="n">
        <v>8430942007928</v>
      </c>
      <c r="F294" s="33" t="n">
        <v>1</v>
      </c>
      <c r="G294" s="34" t="n">
        <v>37.2225</v>
      </c>
      <c r="H294" s="33" t="n">
        <v>69</v>
      </c>
      <c r="I294" s="34" t="n">
        <f aca="false">G294*((100-H294)/100)</f>
        <v>11.538975</v>
      </c>
      <c r="J294" s="35"/>
      <c r="K294" s="36" t="n">
        <f aca="false">+F294*J294</f>
        <v>0</v>
      </c>
      <c r="L294" s="37" t="n">
        <f aca="false">I294*K294</f>
        <v>0</v>
      </c>
    </row>
    <row r="295" customFormat="false" ht="15" hidden="false" customHeight="false" outlineLevel="0" collapsed="false">
      <c r="A295" s="32" t="s">
        <v>607</v>
      </c>
      <c r="B295" s="32" t="s">
        <v>23</v>
      </c>
      <c r="C295" s="32" t="s">
        <v>608</v>
      </c>
      <c r="D295" s="32" t="s">
        <v>291</v>
      </c>
      <c r="E295" s="33" t="n">
        <v>8430942007935</v>
      </c>
      <c r="F295" s="33" t="n">
        <v>1</v>
      </c>
      <c r="G295" s="34" t="n">
        <v>37.716</v>
      </c>
      <c r="H295" s="33" t="n">
        <v>69</v>
      </c>
      <c r="I295" s="34" t="n">
        <f aca="false">G295*((100-H295)/100)</f>
        <v>11.69196</v>
      </c>
      <c r="J295" s="35"/>
      <c r="K295" s="36" t="n">
        <f aca="false">+F295*J295</f>
        <v>0</v>
      </c>
      <c r="L295" s="37" t="n">
        <f aca="false">I295*K295</f>
        <v>0</v>
      </c>
    </row>
    <row r="296" customFormat="false" ht="15" hidden="false" customHeight="false" outlineLevel="0" collapsed="false">
      <c r="A296" s="32" t="s">
        <v>609</v>
      </c>
      <c r="B296" s="32" t="s">
        <v>23</v>
      </c>
      <c r="C296" s="32" t="s">
        <v>610</v>
      </c>
      <c r="D296" s="32" t="s">
        <v>291</v>
      </c>
      <c r="E296" s="33" t="n">
        <v>8430942007942</v>
      </c>
      <c r="F296" s="33" t="n">
        <v>1</v>
      </c>
      <c r="G296" s="34" t="n">
        <v>38.3565</v>
      </c>
      <c r="H296" s="33" t="n">
        <v>69</v>
      </c>
      <c r="I296" s="34" t="n">
        <f aca="false">G296*((100-H296)/100)</f>
        <v>11.890515</v>
      </c>
      <c r="J296" s="35"/>
      <c r="K296" s="36" t="n">
        <f aca="false">+F296*J296</f>
        <v>0</v>
      </c>
      <c r="L296" s="37" t="n">
        <f aca="false">I296*K296</f>
        <v>0</v>
      </c>
    </row>
    <row r="297" customFormat="false" ht="15" hidden="false" customHeight="false" outlineLevel="0" collapsed="false">
      <c r="A297" s="32" t="s">
        <v>611</v>
      </c>
      <c r="B297" s="32" t="s">
        <v>23</v>
      </c>
      <c r="C297" s="32" t="s">
        <v>612</v>
      </c>
      <c r="D297" s="32" t="s">
        <v>291</v>
      </c>
      <c r="E297" s="33" t="n">
        <v>8430942007959</v>
      </c>
      <c r="F297" s="33" t="n">
        <v>1</v>
      </c>
      <c r="G297" s="34" t="n">
        <v>42.336</v>
      </c>
      <c r="H297" s="33" t="n">
        <v>69</v>
      </c>
      <c r="I297" s="34" t="n">
        <f aca="false">G297*((100-H297)/100)</f>
        <v>13.12416</v>
      </c>
      <c r="J297" s="35"/>
      <c r="K297" s="36" t="n">
        <f aca="false">+F297*J297</f>
        <v>0</v>
      </c>
      <c r="L297" s="37" t="n">
        <f aca="false">I297*K297</f>
        <v>0</v>
      </c>
    </row>
    <row r="298" customFormat="false" ht="15" hidden="false" customHeight="false" outlineLevel="0" collapsed="false">
      <c r="A298" s="32" t="s">
        <v>613</v>
      </c>
      <c r="B298" s="32" t="s">
        <v>23</v>
      </c>
      <c r="C298" s="32" t="s">
        <v>614</v>
      </c>
      <c r="D298" s="32" t="s">
        <v>291</v>
      </c>
      <c r="E298" s="33" t="n">
        <v>8430942007966</v>
      </c>
      <c r="F298" s="33" t="n">
        <v>1</v>
      </c>
      <c r="G298" s="34" t="n">
        <v>52.1535</v>
      </c>
      <c r="H298" s="33" t="n">
        <v>69</v>
      </c>
      <c r="I298" s="34" t="n">
        <f aca="false">G298*((100-H298)/100)</f>
        <v>16.167585</v>
      </c>
      <c r="J298" s="35"/>
      <c r="K298" s="36" t="n">
        <f aca="false">+F298*J298</f>
        <v>0</v>
      </c>
      <c r="L298" s="37" t="n">
        <f aca="false">I298*K298</f>
        <v>0</v>
      </c>
    </row>
    <row r="299" customFormat="false" ht="15" hidden="false" customHeight="false" outlineLevel="0" collapsed="false">
      <c r="A299" s="32" t="s">
        <v>615</v>
      </c>
      <c r="B299" s="32" t="s">
        <v>23</v>
      </c>
      <c r="C299" s="32" t="s">
        <v>616</v>
      </c>
      <c r="D299" s="32" t="s">
        <v>291</v>
      </c>
      <c r="E299" s="33" t="n">
        <v>8430942017118</v>
      </c>
      <c r="F299" s="33" t="n">
        <v>1</v>
      </c>
      <c r="G299" s="34" t="n">
        <v>55.1985</v>
      </c>
      <c r="H299" s="33" t="n">
        <v>69</v>
      </c>
      <c r="I299" s="34" t="n">
        <f aca="false">G299*((100-H299)/100)</f>
        <v>17.111535</v>
      </c>
      <c r="J299" s="35"/>
      <c r="K299" s="36" t="n">
        <f aca="false">+F299*J299</f>
        <v>0</v>
      </c>
      <c r="L299" s="37" t="n">
        <f aca="false">I299*K299</f>
        <v>0</v>
      </c>
    </row>
    <row r="300" customFormat="false" ht="15" hidden="false" customHeight="false" outlineLevel="0" collapsed="false">
      <c r="A300" s="32" t="s">
        <v>617</v>
      </c>
      <c r="B300" s="32" t="s">
        <v>23</v>
      </c>
      <c r="C300" s="32" t="s">
        <v>618</v>
      </c>
      <c r="D300" s="32" t="s">
        <v>291</v>
      </c>
      <c r="E300" s="33" t="n">
        <v>8430942007973</v>
      </c>
      <c r="F300" s="33" t="n">
        <v>1</v>
      </c>
      <c r="G300" s="34" t="n">
        <v>57.7605</v>
      </c>
      <c r="H300" s="33" t="n">
        <v>69</v>
      </c>
      <c r="I300" s="34" t="n">
        <f aca="false">G300*((100-H300)/100)</f>
        <v>17.905755</v>
      </c>
      <c r="J300" s="35"/>
      <c r="K300" s="36" t="n">
        <f aca="false">+F300*J300</f>
        <v>0</v>
      </c>
      <c r="L300" s="37" t="n">
        <f aca="false">I300*K300</f>
        <v>0</v>
      </c>
    </row>
    <row r="301" customFormat="false" ht="15" hidden="false" customHeight="false" outlineLevel="0" collapsed="false">
      <c r="A301" s="32" t="s">
        <v>619</v>
      </c>
      <c r="B301" s="32" t="s">
        <v>23</v>
      </c>
      <c r="C301" s="32" t="s">
        <v>620</v>
      </c>
      <c r="D301" s="32" t="s">
        <v>291</v>
      </c>
      <c r="E301" s="33" t="n">
        <v>8430942007980</v>
      </c>
      <c r="F301" s="33" t="n">
        <v>1</v>
      </c>
      <c r="G301" s="34" t="n">
        <v>70.8645</v>
      </c>
      <c r="H301" s="33" t="n">
        <v>69</v>
      </c>
      <c r="I301" s="34" t="n">
        <f aca="false">G301*((100-H301)/100)</f>
        <v>21.967995</v>
      </c>
      <c r="J301" s="35"/>
      <c r="K301" s="36" t="n">
        <f aca="false">+F301*J301</f>
        <v>0</v>
      </c>
      <c r="L301" s="37" t="n">
        <f aca="false">I301*K301</f>
        <v>0</v>
      </c>
    </row>
    <row r="302" customFormat="false" ht="15" hidden="false" customHeight="false" outlineLevel="0" collapsed="false">
      <c r="A302" s="32" t="s">
        <v>621</v>
      </c>
      <c r="B302" s="32" t="s">
        <v>23</v>
      </c>
      <c r="C302" s="32" t="s">
        <v>622</v>
      </c>
      <c r="D302" s="32" t="s">
        <v>291</v>
      </c>
      <c r="E302" s="33" t="n">
        <v>8430942007997</v>
      </c>
      <c r="F302" s="33" t="n">
        <v>1</v>
      </c>
      <c r="G302" s="34" t="n">
        <v>85.596</v>
      </c>
      <c r="H302" s="33" t="n">
        <v>69</v>
      </c>
      <c r="I302" s="34" t="n">
        <f aca="false">G302*((100-H302)/100)</f>
        <v>26.53476</v>
      </c>
      <c r="J302" s="35"/>
      <c r="K302" s="36" t="n">
        <f aca="false">+F302*J302</f>
        <v>0</v>
      </c>
      <c r="L302" s="37" t="n">
        <f aca="false">I302*K302</f>
        <v>0</v>
      </c>
    </row>
    <row r="303" customFormat="false" ht="15" hidden="false" customHeight="false" outlineLevel="0" collapsed="false">
      <c r="A303" s="32" t="s">
        <v>623</v>
      </c>
      <c r="B303" s="32" t="s">
        <v>23</v>
      </c>
      <c r="C303" s="32" t="s">
        <v>624</v>
      </c>
      <c r="D303" s="32" t="s">
        <v>304</v>
      </c>
      <c r="E303" s="33" t="n">
        <v>8430942008000</v>
      </c>
      <c r="F303" s="33" t="n">
        <v>1</v>
      </c>
      <c r="G303" s="34" t="n">
        <v>49.4025</v>
      </c>
      <c r="H303" s="33" t="n">
        <v>69</v>
      </c>
      <c r="I303" s="34" t="n">
        <f aca="false">G303*((100-H303)/100)</f>
        <v>15.314775</v>
      </c>
      <c r="J303" s="35"/>
      <c r="K303" s="36" t="n">
        <f aca="false">+F303*J303</f>
        <v>0</v>
      </c>
      <c r="L303" s="37" t="n">
        <f aca="false">I303*K303</f>
        <v>0</v>
      </c>
    </row>
    <row r="304" customFormat="false" ht="15" hidden="false" customHeight="false" outlineLevel="0" collapsed="false">
      <c r="A304" s="32" t="s">
        <v>625</v>
      </c>
      <c r="B304" s="32" t="s">
        <v>23</v>
      </c>
      <c r="C304" s="32" t="s">
        <v>626</v>
      </c>
      <c r="D304" s="32" t="s">
        <v>304</v>
      </c>
      <c r="E304" s="33" t="n">
        <v>8430942008017</v>
      </c>
      <c r="F304" s="33" t="n">
        <v>1</v>
      </c>
      <c r="G304" s="34" t="n">
        <v>50.673</v>
      </c>
      <c r="H304" s="33" t="n">
        <v>69</v>
      </c>
      <c r="I304" s="34" t="n">
        <f aca="false">G304*((100-H304)/100)</f>
        <v>15.70863</v>
      </c>
      <c r="J304" s="35"/>
      <c r="K304" s="36" t="n">
        <f aca="false">+F304*J304</f>
        <v>0</v>
      </c>
      <c r="L304" s="37" t="n">
        <f aca="false">I304*K304</f>
        <v>0</v>
      </c>
    </row>
    <row r="305" customFormat="false" ht="15" hidden="false" customHeight="false" outlineLevel="0" collapsed="false">
      <c r="A305" s="32" t="s">
        <v>627</v>
      </c>
      <c r="B305" s="32" t="s">
        <v>23</v>
      </c>
      <c r="C305" s="32" t="s">
        <v>628</v>
      </c>
      <c r="D305" s="32" t="s">
        <v>304</v>
      </c>
      <c r="E305" s="33" t="n">
        <v>8430942008024</v>
      </c>
      <c r="F305" s="33" t="n">
        <v>1</v>
      </c>
      <c r="G305" s="34" t="n">
        <v>52.4685</v>
      </c>
      <c r="H305" s="33" t="n">
        <v>69</v>
      </c>
      <c r="I305" s="34" t="n">
        <f aca="false">G305*((100-H305)/100)</f>
        <v>16.265235</v>
      </c>
      <c r="J305" s="35"/>
      <c r="K305" s="36" t="n">
        <f aca="false">+F305*J305</f>
        <v>0</v>
      </c>
      <c r="L305" s="37" t="n">
        <f aca="false">I305*K305</f>
        <v>0</v>
      </c>
    </row>
    <row r="306" customFormat="false" ht="15" hidden="false" customHeight="false" outlineLevel="0" collapsed="false">
      <c r="A306" s="32" t="s">
        <v>629</v>
      </c>
      <c r="B306" s="32" t="s">
        <v>23</v>
      </c>
      <c r="C306" s="32" t="s">
        <v>630</v>
      </c>
      <c r="D306" s="32" t="s">
        <v>304</v>
      </c>
      <c r="E306" s="33" t="n">
        <v>8430942008031</v>
      </c>
      <c r="F306" s="33" t="n">
        <v>1</v>
      </c>
      <c r="G306" s="34" t="n">
        <v>55.27</v>
      </c>
      <c r="H306" s="33" t="n">
        <v>69</v>
      </c>
      <c r="I306" s="34" t="n">
        <f aca="false">G306*((100-H306)/100)</f>
        <v>17.1337</v>
      </c>
      <c r="J306" s="35"/>
      <c r="K306" s="36" t="n">
        <f aca="false">+F306*J306</f>
        <v>0</v>
      </c>
      <c r="L306" s="37" t="n">
        <f aca="false">I306*K306</f>
        <v>0</v>
      </c>
    </row>
    <row r="307" customFormat="false" ht="15" hidden="false" customHeight="false" outlineLevel="0" collapsed="false">
      <c r="A307" s="32" t="s">
        <v>631</v>
      </c>
      <c r="B307" s="32" t="s">
        <v>23</v>
      </c>
      <c r="C307" s="32" t="s">
        <v>632</v>
      </c>
      <c r="D307" s="32" t="s">
        <v>304</v>
      </c>
      <c r="E307" s="33" t="n">
        <v>8430942008048</v>
      </c>
      <c r="F307" s="33" t="n">
        <v>1</v>
      </c>
      <c r="G307" s="34" t="n">
        <v>61.37</v>
      </c>
      <c r="H307" s="33" t="n">
        <v>69</v>
      </c>
      <c r="I307" s="34" t="n">
        <f aca="false">G307*((100-H307)/100)</f>
        <v>19.0247</v>
      </c>
      <c r="J307" s="35"/>
      <c r="K307" s="36" t="n">
        <f aca="false">+F307*J307</f>
        <v>0</v>
      </c>
      <c r="L307" s="37" t="n">
        <f aca="false">I307*K307</f>
        <v>0</v>
      </c>
    </row>
    <row r="308" customFormat="false" ht="15" hidden="false" customHeight="false" outlineLevel="0" collapsed="false">
      <c r="A308" s="32" t="s">
        <v>633</v>
      </c>
      <c r="B308" s="32" t="s">
        <v>23</v>
      </c>
      <c r="C308" s="32" t="s">
        <v>634</v>
      </c>
      <c r="D308" s="32" t="s">
        <v>304</v>
      </c>
      <c r="E308" s="33" t="n">
        <v>8430942008055</v>
      </c>
      <c r="F308" s="33" t="n">
        <v>1</v>
      </c>
      <c r="G308" s="34" t="n">
        <v>68.25</v>
      </c>
      <c r="H308" s="33" t="n">
        <v>69</v>
      </c>
      <c r="I308" s="34" t="n">
        <f aca="false">G308*((100-H308)/100)</f>
        <v>21.1575</v>
      </c>
      <c r="J308" s="35"/>
      <c r="K308" s="36" t="n">
        <f aca="false">+F308*J308</f>
        <v>0</v>
      </c>
      <c r="L308" s="37" t="n">
        <f aca="false">I308*K308</f>
        <v>0</v>
      </c>
    </row>
    <row r="309" customFormat="false" ht="15" hidden="false" customHeight="false" outlineLevel="0" collapsed="false">
      <c r="A309" s="32" t="s">
        <v>635</v>
      </c>
      <c r="B309" s="32" t="s">
        <v>23</v>
      </c>
      <c r="C309" s="32" t="s">
        <v>636</v>
      </c>
      <c r="D309" s="32" t="s">
        <v>304</v>
      </c>
      <c r="E309" s="33" t="n">
        <v>8430942022129</v>
      </c>
      <c r="F309" s="33" t="n">
        <v>1</v>
      </c>
      <c r="G309" s="34" t="n">
        <v>74.87</v>
      </c>
      <c r="H309" s="33" t="n">
        <v>69</v>
      </c>
      <c r="I309" s="34" t="n">
        <f aca="false">G309*((100-H309)/100)</f>
        <v>23.2097</v>
      </c>
      <c r="J309" s="35"/>
      <c r="K309" s="36" t="n">
        <f aca="false">+F309*J309</f>
        <v>0</v>
      </c>
      <c r="L309" s="37" t="n">
        <f aca="false">I309*K309</f>
        <v>0</v>
      </c>
    </row>
    <row r="310" customFormat="false" ht="15" hidden="false" customHeight="false" outlineLevel="0" collapsed="false">
      <c r="A310" s="32" t="s">
        <v>637</v>
      </c>
      <c r="B310" s="32" t="s">
        <v>23</v>
      </c>
      <c r="C310" s="32" t="s">
        <v>638</v>
      </c>
      <c r="D310" s="32" t="s">
        <v>304</v>
      </c>
      <c r="E310" s="33" t="n">
        <v>8430942008062</v>
      </c>
      <c r="F310" s="33" t="n">
        <v>1</v>
      </c>
      <c r="G310" s="34" t="n">
        <v>74.87</v>
      </c>
      <c r="H310" s="33" t="n">
        <v>69</v>
      </c>
      <c r="I310" s="34" t="n">
        <f aca="false">G310*((100-H310)/100)</f>
        <v>23.2097</v>
      </c>
      <c r="J310" s="35"/>
      <c r="K310" s="36" t="n">
        <f aca="false">+F310*J310</f>
        <v>0</v>
      </c>
      <c r="L310" s="37" t="n">
        <f aca="false">I310*K310</f>
        <v>0</v>
      </c>
    </row>
    <row r="311" customFormat="false" ht="15" hidden="false" customHeight="false" outlineLevel="0" collapsed="false">
      <c r="A311" s="32" t="s">
        <v>639</v>
      </c>
      <c r="B311" s="32" t="s">
        <v>23</v>
      </c>
      <c r="C311" s="32" t="s">
        <v>640</v>
      </c>
      <c r="D311" s="32" t="s">
        <v>304</v>
      </c>
      <c r="E311" s="33" t="n">
        <v>8430942008079</v>
      </c>
      <c r="F311" s="33" t="n">
        <v>1</v>
      </c>
      <c r="G311" s="34" t="n">
        <v>116.38</v>
      </c>
      <c r="H311" s="33" t="n">
        <v>69</v>
      </c>
      <c r="I311" s="34" t="n">
        <f aca="false">G311*((100-H311)/100)</f>
        <v>36.0778</v>
      </c>
      <c r="J311" s="35"/>
      <c r="K311" s="36" t="n">
        <f aca="false">+F311*J311</f>
        <v>0</v>
      </c>
      <c r="L311" s="37" t="n">
        <f aca="false">I311*K311</f>
        <v>0</v>
      </c>
    </row>
    <row r="312" customFormat="false" ht="15" hidden="false" customHeight="false" outlineLevel="0" collapsed="false">
      <c r="A312" s="32" t="s">
        <v>641</v>
      </c>
      <c r="B312" s="32" t="s">
        <v>23</v>
      </c>
      <c r="C312" s="32" t="s">
        <v>642</v>
      </c>
      <c r="D312" s="32" t="s">
        <v>304</v>
      </c>
      <c r="E312" s="33" t="n">
        <v>8430942008086</v>
      </c>
      <c r="F312" s="33" t="n">
        <v>1</v>
      </c>
      <c r="G312" s="34" t="n">
        <v>152.04</v>
      </c>
      <c r="H312" s="33" t="n">
        <v>69</v>
      </c>
      <c r="I312" s="34" t="n">
        <f aca="false">G312*((100-H312)/100)</f>
        <v>47.1324</v>
      </c>
      <c r="J312" s="35"/>
      <c r="K312" s="36" t="n">
        <f aca="false">+F312*J312</f>
        <v>0</v>
      </c>
      <c r="L312" s="37" t="n">
        <f aca="false">I312*K312</f>
        <v>0</v>
      </c>
    </row>
    <row r="313" customFormat="false" ht="15" hidden="false" customHeight="false" outlineLevel="0" collapsed="false">
      <c r="A313" s="32" t="s">
        <v>643</v>
      </c>
      <c r="B313" s="32" t="s">
        <v>23</v>
      </c>
      <c r="C313" s="32" t="s">
        <v>644</v>
      </c>
      <c r="D313" s="32" t="s">
        <v>304</v>
      </c>
      <c r="E313" s="33" t="n">
        <v>8430942043056</v>
      </c>
      <c r="F313" s="33" t="n">
        <v>1</v>
      </c>
      <c r="G313" s="34" t="n">
        <v>70.29</v>
      </c>
      <c r="H313" s="33" t="n">
        <v>69</v>
      </c>
      <c r="I313" s="34" t="n">
        <f aca="false">G313*((100-H313)/100)</f>
        <v>21.7899</v>
      </c>
      <c r="J313" s="35"/>
      <c r="K313" s="36" t="n">
        <f aca="false">+F313*J313</f>
        <v>0</v>
      </c>
      <c r="L313" s="37" t="n">
        <f aca="false">I313*K313</f>
        <v>0</v>
      </c>
    </row>
    <row r="314" customFormat="false" ht="15" hidden="false" customHeight="false" outlineLevel="0" collapsed="false">
      <c r="A314" s="32" t="s">
        <v>645</v>
      </c>
      <c r="B314" s="32" t="s">
        <v>23</v>
      </c>
      <c r="C314" s="32" t="s">
        <v>646</v>
      </c>
      <c r="D314" s="32" t="s">
        <v>304</v>
      </c>
      <c r="E314" s="33" t="n">
        <v>8430942038403</v>
      </c>
      <c r="F314" s="33" t="n">
        <v>1</v>
      </c>
      <c r="G314" s="34" t="n">
        <v>77.67</v>
      </c>
      <c r="H314" s="33" t="n">
        <v>69</v>
      </c>
      <c r="I314" s="34" t="n">
        <f aca="false">G314*((100-H314)/100)</f>
        <v>24.0777</v>
      </c>
      <c r="J314" s="35"/>
      <c r="K314" s="36" t="n">
        <f aca="false">+F314*J314</f>
        <v>0</v>
      </c>
      <c r="L314" s="37" t="n">
        <f aca="false">I314*K314</f>
        <v>0</v>
      </c>
    </row>
    <row r="315" customFormat="false" ht="15" hidden="false" customHeight="false" outlineLevel="0" collapsed="false">
      <c r="A315" s="32" t="s">
        <v>647</v>
      </c>
      <c r="B315" s="32" t="s">
        <v>23</v>
      </c>
      <c r="C315" s="32" t="s">
        <v>648</v>
      </c>
      <c r="D315" s="32" t="s">
        <v>304</v>
      </c>
      <c r="E315" s="33" t="n">
        <v>8430942042950</v>
      </c>
      <c r="F315" s="33" t="n">
        <v>1</v>
      </c>
      <c r="G315" s="34" t="n">
        <v>97.03</v>
      </c>
      <c r="H315" s="33" t="n">
        <v>69</v>
      </c>
      <c r="I315" s="34" t="n">
        <f aca="false">G315*((100-H315)/100)</f>
        <v>30.0793</v>
      </c>
      <c r="J315" s="35"/>
      <c r="K315" s="36" t="n">
        <f aca="false">+F315*J315</f>
        <v>0</v>
      </c>
      <c r="L315" s="37" t="n">
        <f aca="false">I315*K315</f>
        <v>0</v>
      </c>
    </row>
    <row r="316" customFormat="false" ht="15" hidden="false" customHeight="false" outlineLevel="0" collapsed="false">
      <c r="A316" s="32" t="s">
        <v>649</v>
      </c>
      <c r="B316" s="32" t="s">
        <v>23</v>
      </c>
      <c r="C316" s="32" t="s">
        <v>650</v>
      </c>
      <c r="D316" s="32" t="s">
        <v>304</v>
      </c>
      <c r="E316" s="33" t="n">
        <v>8430942038410</v>
      </c>
      <c r="F316" s="33" t="n">
        <v>1</v>
      </c>
      <c r="G316" s="34" t="n">
        <v>104.16</v>
      </c>
      <c r="H316" s="33" t="n">
        <v>69</v>
      </c>
      <c r="I316" s="34" t="n">
        <f aca="false">G316*((100-H316)/100)</f>
        <v>32.2896</v>
      </c>
      <c r="J316" s="35"/>
      <c r="K316" s="36" t="n">
        <f aca="false">+F316*J316</f>
        <v>0</v>
      </c>
      <c r="L316" s="37" t="n">
        <f aca="false">I316*K316</f>
        <v>0</v>
      </c>
    </row>
    <row r="317" customFormat="false" ht="15" hidden="false" customHeight="false" outlineLevel="0" collapsed="false">
      <c r="A317" s="32" t="s">
        <v>651</v>
      </c>
      <c r="B317" s="32" t="s">
        <v>23</v>
      </c>
      <c r="C317" s="32" t="s">
        <v>652</v>
      </c>
      <c r="D317" s="32" t="s">
        <v>304</v>
      </c>
      <c r="E317" s="33" t="n">
        <v>8430942042967</v>
      </c>
      <c r="F317" s="33" t="n">
        <v>1</v>
      </c>
      <c r="G317" s="34" t="n">
        <v>134.46</v>
      </c>
      <c r="H317" s="33" t="n">
        <v>69</v>
      </c>
      <c r="I317" s="34" t="n">
        <f aca="false">G317*((100-H317)/100)</f>
        <v>41.6826</v>
      </c>
      <c r="J317" s="35"/>
      <c r="K317" s="36" t="n">
        <f aca="false">+F317*J317</f>
        <v>0</v>
      </c>
      <c r="L317" s="37" t="n">
        <f aca="false">I317*K317</f>
        <v>0</v>
      </c>
    </row>
    <row r="318" customFormat="false" ht="15" hidden="false" customHeight="false" outlineLevel="0" collapsed="false">
      <c r="A318" s="32" t="s">
        <v>653</v>
      </c>
      <c r="B318" s="32" t="s">
        <v>23</v>
      </c>
      <c r="C318" s="32" t="s">
        <v>654</v>
      </c>
      <c r="D318" s="32" t="s">
        <v>655</v>
      </c>
      <c r="E318" s="33" t="n">
        <v>8430942328542</v>
      </c>
      <c r="F318" s="33" t="n">
        <v>1</v>
      </c>
      <c r="G318" s="34" t="n">
        <v>74.004</v>
      </c>
      <c r="H318" s="33" t="n">
        <v>69</v>
      </c>
      <c r="I318" s="34" t="n">
        <f aca="false">G318*((100-H318)/100)</f>
        <v>22.94124</v>
      </c>
      <c r="J318" s="35"/>
      <c r="K318" s="36" t="n">
        <f aca="false">+F318*J318</f>
        <v>0</v>
      </c>
      <c r="L318" s="37" t="n">
        <f aca="false">I318*K318</f>
        <v>0</v>
      </c>
    </row>
    <row r="319" customFormat="false" ht="15" hidden="false" customHeight="false" outlineLevel="0" collapsed="false">
      <c r="A319" s="32" t="s">
        <v>656</v>
      </c>
      <c r="B319" s="32" t="s">
        <v>23</v>
      </c>
      <c r="C319" s="32" t="s">
        <v>657</v>
      </c>
      <c r="D319" s="32" t="s">
        <v>655</v>
      </c>
      <c r="E319" s="33" t="n">
        <v>8430942328559</v>
      </c>
      <c r="F319" s="33" t="n">
        <v>1</v>
      </c>
      <c r="G319" s="34" t="n">
        <v>74.004</v>
      </c>
      <c r="H319" s="33" t="n">
        <v>69</v>
      </c>
      <c r="I319" s="34" t="n">
        <f aca="false">G319*((100-H319)/100)</f>
        <v>22.94124</v>
      </c>
      <c r="J319" s="35"/>
      <c r="K319" s="36" t="n">
        <f aca="false">+F319*J319</f>
        <v>0</v>
      </c>
      <c r="L319" s="37" t="n">
        <f aca="false">I319*K319</f>
        <v>0</v>
      </c>
    </row>
    <row r="320" customFormat="false" ht="15" hidden="false" customHeight="false" outlineLevel="0" collapsed="false">
      <c r="A320" s="32" t="s">
        <v>658</v>
      </c>
      <c r="B320" s="32" t="s">
        <v>23</v>
      </c>
      <c r="C320" s="32" t="s">
        <v>659</v>
      </c>
      <c r="D320" s="32" t="s">
        <v>655</v>
      </c>
      <c r="E320" s="33" t="n">
        <v>8430942328566</v>
      </c>
      <c r="F320" s="33" t="n">
        <v>1</v>
      </c>
      <c r="G320" s="34" t="n">
        <v>77.364</v>
      </c>
      <c r="H320" s="33" t="n">
        <v>69</v>
      </c>
      <c r="I320" s="34" t="n">
        <f aca="false">G320*((100-H320)/100)</f>
        <v>23.98284</v>
      </c>
      <c r="J320" s="35"/>
      <c r="K320" s="36" t="n">
        <f aca="false">+F320*J320</f>
        <v>0</v>
      </c>
      <c r="L320" s="37" t="n">
        <f aca="false">I320*K320</f>
        <v>0</v>
      </c>
    </row>
    <row r="321" customFormat="false" ht="15" hidden="false" customHeight="false" outlineLevel="0" collapsed="false">
      <c r="A321" s="32" t="s">
        <v>660</v>
      </c>
      <c r="B321" s="32" t="s">
        <v>23</v>
      </c>
      <c r="C321" s="32" t="s">
        <v>661</v>
      </c>
      <c r="D321" s="32" t="s">
        <v>655</v>
      </c>
      <c r="E321" s="33" t="n">
        <v>8430942328573</v>
      </c>
      <c r="F321" s="33" t="n">
        <v>1</v>
      </c>
      <c r="G321" s="34" t="n">
        <v>78.8025</v>
      </c>
      <c r="H321" s="33" t="n">
        <v>69</v>
      </c>
      <c r="I321" s="34" t="n">
        <f aca="false">G321*((100-H321)/100)</f>
        <v>24.428775</v>
      </c>
      <c r="J321" s="35"/>
      <c r="K321" s="36" t="n">
        <f aca="false">+F321*J321</f>
        <v>0</v>
      </c>
      <c r="L321" s="37" t="n">
        <f aca="false">I321*K321</f>
        <v>0</v>
      </c>
    </row>
    <row r="322" customFormat="false" ht="15" hidden="false" customHeight="false" outlineLevel="0" collapsed="false">
      <c r="A322" s="32" t="s">
        <v>662</v>
      </c>
      <c r="B322" s="32" t="s">
        <v>23</v>
      </c>
      <c r="C322" s="32" t="s">
        <v>663</v>
      </c>
      <c r="D322" s="32" t="s">
        <v>655</v>
      </c>
      <c r="E322" s="33" t="n">
        <v>8430942328580</v>
      </c>
      <c r="F322" s="33" t="n">
        <v>1</v>
      </c>
      <c r="G322" s="34" t="n">
        <v>82.1625</v>
      </c>
      <c r="H322" s="33" t="n">
        <v>69</v>
      </c>
      <c r="I322" s="34" t="n">
        <f aca="false">G322*((100-H322)/100)</f>
        <v>25.470375</v>
      </c>
      <c r="J322" s="35"/>
      <c r="K322" s="36" t="n">
        <f aca="false">+F322*J322</f>
        <v>0</v>
      </c>
      <c r="L322" s="37" t="n">
        <f aca="false">I322*K322</f>
        <v>0</v>
      </c>
    </row>
    <row r="323" customFormat="false" ht="15" hidden="false" customHeight="false" outlineLevel="0" collapsed="false">
      <c r="A323" s="32" t="s">
        <v>664</v>
      </c>
      <c r="B323" s="32" t="s">
        <v>23</v>
      </c>
      <c r="C323" s="32" t="s">
        <v>665</v>
      </c>
      <c r="D323" s="32" t="s">
        <v>655</v>
      </c>
      <c r="E323" s="33" t="n">
        <v>8430942328597</v>
      </c>
      <c r="F323" s="33" t="n">
        <v>1</v>
      </c>
      <c r="G323" s="34" t="n">
        <v>89.8485</v>
      </c>
      <c r="H323" s="33" t="n">
        <v>69</v>
      </c>
      <c r="I323" s="34" t="n">
        <f aca="false">G323*((100-H323)/100)</f>
        <v>27.853035</v>
      </c>
      <c r="J323" s="35"/>
      <c r="K323" s="36" t="n">
        <f aca="false">+F323*J323</f>
        <v>0</v>
      </c>
      <c r="L323" s="37" t="n">
        <f aca="false">I323*K323</f>
        <v>0</v>
      </c>
    </row>
    <row r="324" customFormat="false" ht="15" hidden="false" customHeight="false" outlineLevel="0" collapsed="false">
      <c r="A324" s="32" t="s">
        <v>666</v>
      </c>
      <c r="B324" s="32" t="s">
        <v>23</v>
      </c>
      <c r="C324" s="32" t="s">
        <v>667</v>
      </c>
      <c r="D324" s="32" t="s">
        <v>655</v>
      </c>
      <c r="E324" s="33" t="n">
        <v>8430942328603</v>
      </c>
      <c r="F324" s="33" t="n">
        <v>1</v>
      </c>
      <c r="G324" s="34" t="n">
        <v>91.539</v>
      </c>
      <c r="H324" s="33" t="n">
        <v>69</v>
      </c>
      <c r="I324" s="34" t="n">
        <f aca="false">G324*((100-H324)/100)</f>
        <v>28.37709</v>
      </c>
      <c r="J324" s="35"/>
      <c r="K324" s="36" t="n">
        <f aca="false">+F324*J324</f>
        <v>0</v>
      </c>
      <c r="L324" s="37" t="n">
        <f aca="false">I324*K324</f>
        <v>0</v>
      </c>
    </row>
    <row r="325" customFormat="false" ht="15" hidden="false" customHeight="false" outlineLevel="0" collapsed="false">
      <c r="A325" s="32" t="s">
        <v>668</v>
      </c>
      <c r="B325" s="32" t="s">
        <v>23</v>
      </c>
      <c r="C325" s="32" t="s">
        <v>669</v>
      </c>
      <c r="D325" s="32" t="s">
        <v>655</v>
      </c>
      <c r="E325" s="33" t="n">
        <v>8430942328610</v>
      </c>
      <c r="F325" s="33" t="n">
        <v>1</v>
      </c>
      <c r="G325" s="34" t="n">
        <v>127.3335</v>
      </c>
      <c r="H325" s="33" t="n">
        <v>69</v>
      </c>
      <c r="I325" s="34" t="n">
        <f aca="false">G325*((100-H325)/100)</f>
        <v>39.473385</v>
      </c>
      <c r="J325" s="35"/>
      <c r="K325" s="36" t="n">
        <f aca="false">+F325*J325</f>
        <v>0</v>
      </c>
      <c r="L325" s="37" t="n">
        <f aca="false">I325*K325</f>
        <v>0</v>
      </c>
    </row>
    <row r="326" customFormat="false" ht="15" hidden="false" customHeight="false" outlineLevel="0" collapsed="false">
      <c r="A326" s="32" t="s">
        <v>670</v>
      </c>
      <c r="B326" s="32" t="s">
        <v>23</v>
      </c>
      <c r="C326" s="32" t="s">
        <v>671</v>
      </c>
      <c r="D326" s="32" t="s">
        <v>655</v>
      </c>
      <c r="E326" s="33" t="n">
        <v>8430942328627</v>
      </c>
      <c r="F326" s="33" t="n">
        <v>1</v>
      </c>
      <c r="G326" s="34" t="n">
        <v>156.8805</v>
      </c>
      <c r="H326" s="33" t="n">
        <v>69</v>
      </c>
      <c r="I326" s="34" t="n">
        <f aca="false">G326*((100-H326)/100)</f>
        <v>48.632955</v>
      </c>
      <c r="J326" s="35"/>
      <c r="K326" s="36" t="n">
        <f aca="false">+F326*J326</f>
        <v>0</v>
      </c>
      <c r="L326" s="37" t="n">
        <f aca="false">I326*K326</f>
        <v>0</v>
      </c>
    </row>
    <row r="327" customFormat="false" ht="15" hidden="false" customHeight="false" outlineLevel="0" collapsed="false">
      <c r="A327" s="32" t="s">
        <v>672</v>
      </c>
      <c r="B327" s="32" t="s">
        <v>23</v>
      </c>
      <c r="C327" s="32" t="s">
        <v>673</v>
      </c>
      <c r="D327" s="32" t="s">
        <v>25</v>
      </c>
      <c r="E327" s="33" t="n">
        <v>8430942039585</v>
      </c>
      <c r="F327" s="33" t="n">
        <v>4</v>
      </c>
      <c r="G327" s="34" t="n">
        <v>35.75</v>
      </c>
      <c r="H327" s="33" t="n">
        <v>69</v>
      </c>
      <c r="I327" s="34" t="n">
        <f aca="false">G327*((100-H327)/100)</f>
        <v>11.0825</v>
      </c>
      <c r="J327" s="35"/>
      <c r="K327" s="36" t="n">
        <f aca="false">+F327*J327</f>
        <v>0</v>
      </c>
      <c r="L327" s="37" t="n">
        <f aca="false">I327*K327</f>
        <v>0</v>
      </c>
    </row>
    <row r="328" customFormat="false" ht="15" hidden="false" customHeight="false" outlineLevel="0" collapsed="false">
      <c r="A328" s="32" t="s">
        <v>674</v>
      </c>
      <c r="B328" s="32" t="s">
        <v>23</v>
      </c>
      <c r="C328" s="32" t="s">
        <v>675</v>
      </c>
      <c r="D328" s="32" t="s">
        <v>25</v>
      </c>
      <c r="E328" s="33" t="n">
        <v>8430942044879</v>
      </c>
      <c r="F328" s="33" t="n">
        <v>4</v>
      </c>
      <c r="G328" s="34" t="n">
        <v>39.27</v>
      </c>
      <c r="H328" s="33" t="n">
        <v>69</v>
      </c>
      <c r="I328" s="34" t="n">
        <f aca="false">G328*((100-H328)/100)</f>
        <v>12.1737</v>
      </c>
      <c r="J328" s="35"/>
      <c r="K328" s="36" t="n">
        <f aca="false">+F328*J328</f>
        <v>0</v>
      </c>
      <c r="L328" s="37" t="n">
        <f aca="false">I328*K328</f>
        <v>0</v>
      </c>
    </row>
    <row r="329" customFormat="false" ht="15" hidden="false" customHeight="false" outlineLevel="0" collapsed="false">
      <c r="A329" s="32" t="s">
        <v>676</v>
      </c>
      <c r="B329" s="32" t="s">
        <v>23</v>
      </c>
      <c r="C329" s="32" t="s">
        <v>677</v>
      </c>
      <c r="D329" s="32" t="s">
        <v>25</v>
      </c>
      <c r="E329" s="33" t="n">
        <v>8430942039592</v>
      </c>
      <c r="F329" s="33" t="n">
        <v>4</v>
      </c>
      <c r="G329" s="34" t="n">
        <v>28.43</v>
      </c>
      <c r="H329" s="33" t="n">
        <v>69</v>
      </c>
      <c r="I329" s="34" t="n">
        <f aca="false">G329*((100-H329)/100)</f>
        <v>8.8133</v>
      </c>
      <c r="J329" s="35"/>
      <c r="K329" s="36" t="n">
        <f aca="false">+F329*J329</f>
        <v>0</v>
      </c>
      <c r="L329" s="37" t="n">
        <f aca="false">I329*K329</f>
        <v>0</v>
      </c>
    </row>
    <row r="330" customFormat="false" ht="15" hidden="false" customHeight="false" outlineLevel="0" collapsed="false">
      <c r="A330" s="32" t="s">
        <v>678</v>
      </c>
      <c r="B330" s="32" t="s">
        <v>23</v>
      </c>
      <c r="C330" s="32" t="s">
        <v>679</v>
      </c>
      <c r="D330" s="32" t="s">
        <v>25</v>
      </c>
      <c r="E330" s="33" t="n">
        <v>8430942044909</v>
      </c>
      <c r="F330" s="33" t="n">
        <v>4</v>
      </c>
      <c r="G330" s="34" t="n">
        <v>30.11</v>
      </c>
      <c r="H330" s="33" t="n">
        <v>69</v>
      </c>
      <c r="I330" s="34" t="n">
        <f aca="false">G330*((100-H330)/100)</f>
        <v>9.3341</v>
      </c>
      <c r="J330" s="35"/>
      <c r="K330" s="36" t="n">
        <f aca="false">+F330*J330</f>
        <v>0</v>
      </c>
      <c r="L330" s="37" t="n">
        <f aca="false">I330*K330</f>
        <v>0</v>
      </c>
    </row>
    <row r="331" customFormat="false" ht="15" hidden="false" customHeight="false" outlineLevel="0" collapsed="false">
      <c r="A331" s="32" t="s">
        <v>680</v>
      </c>
      <c r="B331" s="32" t="s">
        <v>23</v>
      </c>
      <c r="C331" s="32" t="s">
        <v>681</v>
      </c>
      <c r="D331" s="32" t="s">
        <v>25</v>
      </c>
      <c r="E331" s="33" t="n">
        <v>8430942039608</v>
      </c>
      <c r="F331" s="33" t="n">
        <v>4</v>
      </c>
      <c r="G331" s="34" t="n">
        <v>24.28</v>
      </c>
      <c r="H331" s="33" t="n">
        <v>69</v>
      </c>
      <c r="I331" s="34" t="n">
        <f aca="false">G331*((100-H331)/100)</f>
        <v>7.5268</v>
      </c>
      <c r="J331" s="35"/>
      <c r="K331" s="36" t="n">
        <f aca="false">+F331*J331</f>
        <v>0</v>
      </c>
      <c r="L331" s="37" t="n">
        <f aca="false">I331*K331</f>
        <v>0</v>
      </c>
    </row>
    <row r="332" customFormat="false" ht="15" hidden="false" customHeight="false" outlineLevel="0" collapsed="false">
      <c r="A332" s="32" t="s">
        <v>682</v>
      </c>
      <c r="B332" s="32" t="s">
        <v>23</v>
      </c>
      <c r="C332" s="32" t="s">
        <v>683</v>
      </c>
      <c r="D332" s="32" t="s">
        <v>25</v>
      </c>
      <c r="E332" s="33" t="n">
        <v>8430942044893</v>
      </c>
      <c r="F332" s="33" t="n">
        <v>4</v>
      </c>
      <c r="G332" s="34" t="n">
        <v>28.72</v>
      </c>
      <c r="H332" s="33" t="n">
        <v>69</v>
      </c>
      <c r="I332" s="34" t="n">
        <f aca="false">G332*((100-H332)/100)</f>
        <v>8.9032</v>
      </c>
      <c r="J332" s="35"/>
      <c r="K332" s="36" t="n">
        <f aca="false">+F332*J332</f>
        <v>0</v>
      </c>
      <c r="L332" s="37" t="n">
        <f aca="false">I332*K332</f>
        <v>0</v>
      </c>
    </row>
    <row r="333" customFormat="false" ht="15" hidden="false" customHeight="false" outlineLevel="0" collapsed="false">
      <c r="A333" s="32" t="s">
        <v>684</v>
      </c>
      <c r="B333" s="32" t="s">
        <v>23</v>
      </c>
      <c r="C333" s="32" t="s">
        <v>685</v>
      </c>
      <c r="D333" s="32" t="s">
        <v>25</v>
      </c>
      <c r="E333" s="33" t="n">
        <v>8430942366384</v>
      </c>
      <c r="F333" s="33" t="n">
        <v>8</v>
      </c>
      <c r="G333" s="34" t="n">
        <v>20.63</v>
      </c>
      <c r="H333" s="33" t="n">
        <v>69</v>
      </c>
      <c r="I333" s="34" t="n">
        <f aca="false">G333*((100-H333)/100)</f>
        <v>6.3953</v>
      </c>
      <c r="J333" s="35"/>
      <c r="K333" s="36" t="n">
        <f aca="false">+F333*J333</f>
        <v>0</v>
      </c>
      <c r="L333" s="37" t="n">
        <f aca="false">I333*K333</f>
        <v>0</v>
      </c>
    </row>
    <row r="334" customFormat="false" ht="15" hidden="false" customHeight="false" outlineLevel="0" collapsed="false">
      <c r="A334" s="32" t="s">
        <v>686</v>
      </c>
      <c r="B334" s="32" t="s">
        <v>23</v>
      </c>
      <c r="C334" s="32" t="s">
        <v>687</v>
      </c>
      <c r="D334" s="32" t="s">
        <v>25</v>
      </c>
      <c r="E334" s="33" t="n">
        <v>8430942366391</v>
      </c>
      <c r="F334" s="33" t="n">
        <v>4</v>
      </c>
      <c r="G334" s="34" t="n">
        <v>24.41</v>
      </c>
      <c r="H334" s="33" t="n">
        <v>69</v>
      </c>
      <c r="I334" s="34" t="n">
        <f aca="false">G334*((100-H334)/100)</f>
        <v>7.5671</v>
      </c>
      <c r="J334" s="35"/>
      <c r="K334" s="36" t="n">
        <f aca="false">+F334*J334</f>
        <v>0</v>
      </c>
      <c r="L334" s="37" t="n">
        <f aca="false">I334*K334</f>
        <v>0</v>
      </c>
    </row>
    <row r="335" customFormat="false" ht="15" hidden="false" customHeight="false" outlineLevel="0" collapsed="false">
      <c r="A335" s="32" t="s">
        <v>688</v>
      </c>
      <c r="B335" s="32" t="s">
        <v>23</v>
      </c>
      <c r="C335" s="32" t="s">
        <v>689</v>
      </c>
      <c r="D335" s="32" t="s">
        <v>25</v>
      </c>
      <c r="E335" s="33" t="n">
        <v>8430942035587</v>
      </c>
      <c r="F335" s="33" t="n">
        <v>1</v>
      </c>
      <c r="G335" s="34" t="n">
        <v>67.19</v>
      </c>
      <c r="H335" s="33" t="n">
        <v>69</v>
      </c>
      <c r="I335" s="34" t="n">
        <f aca="false">G335*((100-H335)/100)</f>
        <v>20.8289</v>
      </c>
      <c r="J335" s="35"/>
      <c r="K335" s="36" t="n">
        <f aca="false">+F335*J335</f>
        <v>0</v>
      </c>
      <c r="L335" s="37" t="n">
        <f aca="false">I335*K335</f>
        <v>0</v>
      </c>
    </row>
    <row r="336" customFormat="false" ht="15" hidden="false" customHeight="false" outlineLevel="0" collapsed="false">
      <c r="A336" s="32" t="s">
        <v>690</v>
      </c>
      <c r="B336" s="32" t="s">
        <v>23</v>
      </c>
      <c r="C336" s="32" t="s">
        <v>691</v>
      </c>
      <c r="D336" s="32" t="s">
        <v>25</v>
      </c>
      <c r="E336" s="33" t="n">
        <v>8430942304867</v>
      </c>
      <c r="F336" s="33" t="n">
        <v>1</v>
      </c>
      <c r="G336" s="34" t="n">
        <v>77.35</v>
      </c>
      <c r="H336" s="33" t="n">
        <v>69</v>
      </c>
      <c r="I336" s="34" t="n">
        <f aca="false">G336*((100-H336)/100)</f>
        <v>23.9785</v>
      </c>
      <c r="J336" s="35"/>
      <c r="K336" s="36" t="n">
        <f aca="false">+F336*J336</f>
        <v>0</v>
      </c>
      <c r="L336" s="37" t="n">
        <f aca="false">I336*K336</f>
        <v>0</v>
      </c>
    </row>
    <row r="337" customFormat="false" ht="15" hidden="false" customHeight="false" outlineLevel="0" collapsed="false">
      <c r="A337" s="32" t="s">
        <v>692</v>
      </c>
      <c r="B337" s="32" t="s">
        <v>23</v>
      </c>
      <c r="C337" s="32" t="s">
        <v>693</v>
      </c>
      <c r="D337" s="32" t="s">
        <v>25</v>
      </c>
      <c r="E337" s="33" t="n">
        <v>8430942304874</v>
      </c>
      <c r="F337" s="33" t="n">
        <v>1</v>
      </c>
      <c r="G337" s="34" t="n">
        <v>63.91</v>
      </c>
      <c r="H337" s="33" t="n">
        <v>69</v>
      </c>
      <c r="I337" s="34" t="n">
        <f aca="false">G337*((100-H337)/100)</f>
        <v>19.8121</v>
      </c>
      <c r="J337" s="35"/>
      <c r="K337" s="36" t="n">
        <f aca="false">+F337*J337</f>
        <v>0</v>
      </c>
      <c r="L337" s="37" t="n">
        <f aca="false">I337*K337</f>
        <v>0</v>
      </c>
    </row>
    <row r="338" customFormat="false" ht="15" hidden="false" customHeight="false" outlineLevel="0" collapsed="false">
      <c r="A338" s="32" t="s">
        <v>694</v>
      </c>
      <c r="B338" s="32" t="s">
        <v>23</v>
      </c>
      <c r="C338" s="32" t="s">
        <v>695</v>
      </c>
      <c r="D338" s="32" t="s">
        <v>25</v>
      </c>
      <c r="E338" s="33" t="n">
        <v>8430942304881</v>
      </c>
      <c r="F338" s="33" t="n">
        <v>1</v>
      </c>
      <c r="G338" s="34" t="n">
        <v>72.98</v>
      </c>
      <c r="H338" s="33" t="n">
        <v>69</v>
      </c>
      <c r="I338" s="34" t="n">
        <f aca="false">G338*((100-H338)/100)</f>
        <v>22.6238</v>
      </c>
      <c r="J338" s="35"/>
      <c r="K338" s="36" t="n">
        <f aca="false">+F338*J338</f>
        <v>0</v>
      </c>
      <c r="L338" s="37" t="n">
        <f aca="false">I338*K338</f>
        <v>0</v>
      </c>
    </row>
    <row r="339" customFormat="false" ht="15" hidden="false" customHeight="false" outlineLevel="0" collapsed="false">
      <c r="A339" s="32" t="s">
        <v>696</v>
      </c>
      <c r="B339" s="32" t="s">
        <v>23</v>
      </c>
      <c r="C339" s="32" t="s">
        <v>697</v>
      </c>
      <c r="D339" s="32" t="s">
        <v>113</v>
      </c>
      <c r="E339" s="33" t="n">
        <v>8430942046712</v>
      </c>
      <c r="F339" s="33" t="n">
        <v>4</v>
      </c>
      <c r="G339" s="34" t="n">
        <v>61.68</v>
      </c>
      <c r="H339" s="33" t="n">
        <v>69</v>
      </c>
      <c r="I339" s="34" t="n">
        <f aca="false">G339*((100-H339)/100)</f>
        <v>19.1208</v>
      </c>
      <c r="J339" s="35"/>
      <c r="K339" s="36" t="n">
        <f aca="false">+F339*J339</f>
        <v>0</v>
      </c>
      <c r="L339" s="37" t="n">
        <f aca="false">I339*K339</f>
        <v>0</v>
      </c>
    </row>
    <row r="340" customFormat="false" ht="15" hidden="false" customHeight="false" outlineLevel="0" collapsed="false">
      <c r="A340" s="32" t="s">
        <v>698</v>
      </c>
      <c r="B340" s="32" t="s">
        <v>23</v>
      </c>
      <c r="C340" s="32" t="s">
        <v>699</v>
      </c>
      <c r="D340" s="32" t="s">
        <v>700</v>
      </c>
      <c r="E340" s="33" t="n">
        <v>8430942046705</v>
      </c>
      <c r="F340" s="33" t="n">
        <v>4</v>
      </c>
      <c r="G340" s="34" t="n">
        <v>61.68</v>
      </c>
      <c r="H340" s="33" t="n">
        <v>69</v>
      </c>
      <c r="I340" s="34" t="n">
        <f aca="false">G340*((100-H340)/100)</f>
        <v>19.1208</v>
      </c>
      <c r="J340" s="35"/>
      <c r="K340" s="36" t="n">
        <f aca="false">+F340*J340</f>
        <v>0</v>
      </c>
      <c r="L340" s="37" t="n">
        <f aca="false">I340*K340</f>
        <v>0</v>
      </c>
    </row>
    <row r="341" customFormat="false" ht="15" hidden="false" customHeight="false" outlineLevel="0" collapsed="false">
      <c r="A341" s="32" t="s">
        <v>701</v>
      </c>
      <c r="B341" s="32" t="s">
        <v>23</v>
      </c>
      <c r="C341" s="32" t="s">
        <v>702</v>
      </c>
      <c r="D341" s="32" t="s">
        <v>126</v>
      </c>
      <c r="E341" s="33" t="n">
        <v>8430942358884</v>
      </c>
      <c r="F341" s="33" t="n">
        <v>4</v>
      </c>
      <c r="G341" s="34" t="n">
        <v>32.22</v>
      </c>
      <c r="H341" s="33" t="n">
        <v>69</v>
      </c>
      <c r="I341" s="34" t="n">
        <f aca="false">G341*((100-H341)/100)</f>
        <v>9.9882</v>
      </c>
      <c r="J341" s="35"/>
      <c r="K341" s="36" t="n">
        <f aca="false">+F341*J341</f>
        <v>0</v>
      </c>
      <c r="L341" s="37" t="n">
        <f aca="false">I341*K341</f>
        <v>0</v>
      </c>
    </row>
    <row r="342" customFormat="false" ht="15" hidden="false" customHeight="false" outlineLevel="0" collapsed="false">
      <c r="A342" s="32" t="s">
        <v>703</v>
      </c>
      <c r="B342" s="32" t="s">
        <v>23</v>
      </c>
      <c r="C342" s="32" t="s">
        <v>704</v>
      </c>
      <c r="D342" s="32" t="s">
        <v>126</v>
      </c>
      <c r="E342" s="33" t="n">
        <v>8430942358891</v>
      </c>
      <c r="F342" s="33" t="n">
        <v>4</v>
      </c>
      <c r="G342" s="34" t="n">
        <v>35.28</v>
      </c>
      <c r="H342" s="33" t="n">
        <v>69</v>
      </c>
      <c r="I342" s="34" t="n">
        <f aca="false">G342*((100-H342)/100)</f>
        <v>10.9368</v>
      </c>
      <c r="J342" s="35"/>
      <c r="K342" s="36" t="n">
        <f aca="false">+F342*J342</f>
        <v>0</v>
      </c>
      <c r="L342" s="37" t="n">
        <f aca="false">I342*K342</f>
        <v>0</v>
      </c>
    </row>
    <row r="343" customFormat="false" ht="15" hidden="false" customHeight="false" outlineLevel="0" collapsed="false">
      <c r="A343" s="32" t="s">
        <v>705</v>
      </c>
      <c r="B343" s="32" t="s">
        <v>23</v>
      </c>
      <c r="C343" s="32" t="s">
        <v>706</v>
      </c>
      <c r="D343" s="32" t="s">
        <v>126</v>
      </c>
      <c r="E343" s="33" t="n">
        <v>8430942039752</v>
      </c>
      <c r="F343" s="33" t="n">
        <v>4</v>
      </c>
      <c r="G343" s="34" t="n">
        <v>32.22</v>
      </c>
      <c r="H343" s="33" t="n">
        <v>69</v>
      </c>
      <c r="I343" s="34" t="n">
        <f aca="false">G343*((100-H343)/100)</f>
        <v>9.9882</v>
      </c>
      <c r="J343" s="35"/>
      <c r="K343" s="36" t="n">
        <f aca="false">+F343*J343</f>
        <v>0</v>
      </c>
      <c r="L343" s="37" t="n">
        <f aca="false">I343*K343</f>
        <v>0</v>
      </c>
    </row>
    <row r="344" customFormat="false" ht="15" hidden="false" customHeight="false" outlineLevel="0" collapsed="false">
      <c r="A344" s="32" t="s">
        <v>707</v>
      </c>
      <c r="B344" s="32" t="s">
        <v>23</v>
      </c>
      <c r="C344" s="32" t="s">
        <v>708</v>
      </c>
      <c r="D344" s="32" t="s">
        <v>126</v>
      </c>
      <c r="E344" s="33" t="n">
        <v>8430942044855</v>
      </c>
      <c r="F344" s="33" t="n">
        <v>4</v>
      </c>
      <c r="G344" s="34" t="n">
        <v>35.28</v>
      </c>
      <c r="H344" s="33" t="n">
        <v>69</v>
      </c>
      <c r="I344" s="34" t="n">
        <f aca="false">G344*((100-H344)/100)</f>
        <v>10.9368</v>
      </c>
      <c r="J344" s="35"/>
      <c r="K344" s="36" t="n">
        <f aca="false">+F344*J344</f>
        <v>0</v>
      </c>
      <c r="L344" s="37" t="n">
        <f aca="false">I344*K344</f>
        <v>0</v>
      </c>
    </row>
    <row r="345" customFormat="false" ht="15" hidden="false" customHeight="false" outlineLevel="0" collapsed="false">
      <c r="A345" s="32" t="s">
        <v>709</v>
      </c>
      <c r="B345" s="32" t="s">
        <v>23</v>
      </c>
      <c r="C345" s="32" t="s">
        <v>710</v>
      </c>
      <c r="D345" s="32" t="s">
        <v>126</v>
      </c>
      <c r="E345" s="33" t="n">
        <v>8430942039769</v>
      </c>
      <c r="F345" s="33" t="n">
        <v>4</v>
      </c>
      <c r="G345" s="34" t="n">
        <v>40.07</v>
      </c>
      <c r="H345" s="33" t="n">
        <v>69</v>
      </c>
      <c r="I345" s="34" t="n">
        <f aca="false">G345*((100-H345)/100)</f>
        <v>12.4217</v>
      </c>
      <c r="J345" s="35"/>
      <c r="K345" s="36" t="n">
        <f aca="false">+F345*J345</f>
        <v>0</v>
      </c>
      <c r="L345" s="37" t="n">
        <f aca="false">I345*K345</f>
        <v>0</v>
      </c>
    </row>
    <row r="346" customFormat="false" ht="15" hidden="false" customHeight="false" outlineLevel="0" collapsed="false">
      <c r="A346" s="32" t="s">
        <v>711</v>
      </c>
      <c r="B346" s="32" t="s">
        <v>23</v>
      </c>
      <c r="C346" s="32" t="s">
        <v>712</v>
      </c>
      <c r="D346" s="32" t="s">
        <v>126</v>
      </c>
      <c r="E346" s="33" t="n">
        <v>8430942044862</v>
      </c>
      <c r="F346" s="33" t="n">
        <v>4</v>
      </c>
      <c r="G346" s="34" t="n">
        <v>42.42</v>
      </c>
      <c r="H346" s="33" t="n">
        <v>69</v>
      </c>
      <c r="I346" s="34" t="n">
        <f aca="false">G346*((100-H346)/100)</f>
        <v>13.1502</v>
      </c>
      <c r="J346" s="35"/>
      <c r="K346" s="36" t="n">
        <f aca="false">+F346*J346</f>
        <v>0</v>
      </c>
      <c r="L346" s="37" t="n">
        <f aca="false">I346*K346</f>
        <v>0</v>
      </c>
    </row>
    <row r="347" customFormat="false" ht="15" hidden="false" customHeight="false" outlineLevel="0" collapsed="false">
      <c r="A347" s="32" t="s">
        <v>713</v>
      </c>
      <c r="B347" s="32" t="s">
        <v>23</v>
      </c>
      <c r="C347" s="32" t="s">
        <v>714</v>
      </c>
      <c r="D347" s="32" t="s">
        <v>126</v>
      </c>
      <c r="E347" s="33" t="n">
        <v>8430942046750</v>
      </c>
      <c r="F347" s="33" t="n">
        <v>4</v>
      </c>
      <c r="G347" s="34" t="n">
        <v>62.15</v>
      </c>
      <c r="H347" s="33" t="n">
        <v>69</v>
      </c>
      <c r="I347" s="34" t="n">
        <f aca="false">G347*((100-H347)/100)</f>
        <v>19.2665</v>
      </c>
      <c r="J347" s="35"/>
      <c r="K347" s="36" t="n">
        <f aca="false">+F347*J347</f>
        <v>0</v>
      </c>
      <c r="L347" s="37" t="n">
        <f aca="false">I347*K347</f>
        <v>0</v>
      </c>
    </row>
    <row r="348" customFormat="false" ht="15" hidden="false" customHeight="false" outlineLevel="0" collapsed="false">
      <c r="A348" s="32" t="s">
        <v>715</v>
      </c>
      <c r="B348" s="32" t="s">
        <v>23</v>
      </c>
      <c r="C348" s="32" t="s">
        <v>716</v>
      </c>
      <c r="D348" s="32" t="s">
        <v>126</v>
      </c>
      <c r="E348" s="33" t="n">
        <v>8430942045777</v>
      </c>
      <c r="F348" s="33" t="n">
        <v>4</v>
      </c>
      <c r="G348" s="34" t="n">
        <v>68.02</v>
      </c>
      <c r="H348" s="33" t="n">
        <v>69</v>
      </c>
      <c r="I348" s="34" t="n">
        <f aca="false">G348*((100-H348)/100)</f>
        <v>21.0862</v>
      </c>
      <c r="J348" s="35"/>
      <c r="K348" s="36" t="n">
        <f aca="false">+F348*J348</f>
        <v>0</v>
      </c>
      <c r="L348" s="37" t="n">
        <f aca="false">I348*K348</f>
        <v>0</v>
      </c>
    </row>
    <row r="349" customFormat="false" ht="15" hidden="false" customHeight="false" outlineLevel="0" collapsed="false">
      <c r="A349" s="32" t="s">
        <v>717</v>
      </c>
      <c r="B349" s="32" t="s">
        <v>23</v>
      </c>
      <c r="C349" s="32" t="s">
        <v>718</v>
      </c>
      <c r="D349" s="32" t="s">
        <v>211</v>
      </c>
      <c r="E349" s="33" t="n">
        <v>8430942366629</v>
      </c>
      <c r="F349" s="33" t="n">
        <v>3</v>
      </c>
      <c r="G349" s="34" t="n">
        <v>81.48</v>
      </c>
      <c r="H349" s="33" t="n">
        <v>69</v>
      </c>
      <c r="I349" s="34" t="n">
        <f aca="false">G349*((100-H349)/100)</f>
        <v>25.2588</v>
      </c>
      <c r="J349" s="35"/>
      <c r="K349" s="36" t="n">
        <f aca="false">+F349*J349</f>
        <v>0</v>
      </c>
      <c r="L349" s="37" t="n">
        <f aca="false">I349*K349</f>
        <v>0</v>
      </c>
    </row>
    <row r="350" customFormat="false" ht="15" hidden="false" customHeight="false" outlineLevel="0" collapsed="false">
      <c r="A350" s="32" t="s">
        <v>719</v>
      </c>
      <c r="B350" s="32" t="s">
        <v>23</v>
      </c>
      <c r="C350" s="32" t="s">
        <v>720</v>
      </c>
      <c r="D350" s="32" t="s">
        <v>211</v>
      </c>
      <c r="E350" s="33" t="n">
        <v>8430942366636</v>
      </c>
      <c r="F350" s="33" t="n">
        <v>3</v>
      </c>
      <c r="G350" s="34" t="n">
        <v>89.66</v>
      </c>
      <c r="H350" s="33" t="n">
        <v>69</v>
      </c>
      <c r="I350" s="34" t="n">
        <f aca="false">G350*((100-H350)/100)</f>
        <v>27.7946</v>
      </c>
      <c r="J350" s="35"/>
      <c r="K350" s="36" t="n">
        <f aca="false">+F350*J350</f>
        <v>0</v>
      </c>
      <c r="L350" s="37" t="n">
        <f aca="false">I350*K350</f>
        <v>0</v>
      </c>
    </row>
    <row r="351" customFormat="false" ht="15" hidden="false" customHeight="false" outlineLevel="0" collapsed="false">
      <c r="A351" s="32" t="s">
        <v>721</v>
      </c>
      <c r="B351" s="32" t="s">
        <v>23</v>
      </c>
      <c r="C351" s="32" t="s">
        <v>722</v>
      </c>
      <c r="D351" s="32" t="s">
        <v>211</v>
      </c>
      <c r="E351" s="33" t="n">
        <v>8430942049072</v>
      </c>
      <c r="F351" s="33" t="n">
        <v>3</v>
      </c>
      <c r="G351" s="34" t="n">
        <v>72.86</v>
      </c>
      <c r="H351" s="33" t="n">
        <v>69</v>
      </c>
      <c r="I351" s="34" t="n">
        <f aca="false">G351*((100-H351)/100)</f>
        <v>22.5866</v>
      </c>
      <c r="J351" s="35"/>
      <c r="K351" s="36" t="n">
        <f aca="false">+F351*J351</f>
        <v>0</v>
      </c>
      <c r="L351" s="37" t="n">
        <f aca="false">I351*K351</f>
        <v>0</v>
      </c>
    </row>
    <row r="352" customFormat="false" ht="15" hidden="false" customHeight="false" outlineLevel="0" collapsed="false">
      <c r="A352" s="32" t="s">
        <v>723</v>
      </c>
      <c r="B352" s="32" t="s">
        <v>23</v>
      </c>
      <c r="C352" s="32" t="s">
        <v>724</v>
      </c>
      <c r="D352" s="32" t="s">
        <v>237</v>
      </c>
      <c r="E352" s="33" t="n">
        <v>8430942354268</v>
      </c>
      <c r="F352" s="33" t="n">
        <v>1</v>
      </c>
      <c r="G352" s="34" t="n">
        <v>220.16</v>
      </c>
      <c r="H352" s="33" t="n">
        <v>69</v>
      </c>
      <c r="I352" s="34" t="n">
        <f aca="false">G352*((100-H352)/100)</f>
        <v>68.2496</v>
      </c>
      <c r="J352" s="35"/>
      <c r="K352" s="36" t="n">
        <f aca="false">+F352*J352</f>
        <v>0</v>
      </c>
      <c r="L352" s="37" t="n">
        <f aca="false">I352*K352</f>
        <v>0</v>
      </c>
    </row>
    <row r="353" customFormat="false" ht="15" hidden="false" customHeight="false" outlineLevel="0" collapsed="false">
      <c r="A353" s="32" t="s">
        <v>725</v>
      </c>
      <c r="B353" s="32" t="s">
        <v>23</v>
      </c>
      <c r="C353" s="32" t="s">
        <v>726</v>
      </c>
      <c r="D353" s="32" t="s">
        <v>224</v>
      </c>
      <c r="E353" s="33" t="n">
        <v>8430942039622</v>
      </c>
      <c r="F353" s="33" t="n">
        <v>1</v>
      </c>
      <c r="G353" s="34" t="n">
        <v>27.55</v>
      </c>
      <c r="H353" s="33" t="n">
        <v>69</v>
      </c>
      <c r="I353" s="34" t="n">
        <f aca="false">G353*((100-H353)/100)</f>
        <v>8.5405</v>
      </c>
      <c r="J353" s="35"/>
      <c r="K353" s="36" t="n">
        <f aca="false">+F353*J353</f>
        <v>0</v>
      </c>
      <c r="L353" s="37" t="n">
        <f aca="false">I353*K353</f>
        <v>0</v>
      </c>
    </row>
    <row r="354" customFormat="false" ht="15" hidden="false" customHeight="false" outlineLevel="0" collapsed="false">
      <c r="A354" s="32" t="s">
        <v>727</v>
      </c>
      <c r="B354" s="32" t="s">
        <v>23</v>
      </c>
      <c r="C354" s="32" t="s">
        <v>728</v>
      </c>
      <c r="D354" s="32" t="s">
        <v>224</v>
      </c>
      <c r="E354" s="33" t="n">
        <v>8430942044923</v>
      </c>
      <c r="F354" s="33" t="n">
        <v>1</v>
      </c>
      <c r="G354" s="34" t="n">
        <v>29.19</v>
      </c>
      <c r="H354" s="33" t="n">
        <v>69</v>
      </c>
      <c r="I354" s="34" t="n">
        <f aca="false">G354*((100-H354)/100)</f>
        <v>9.0489</v>
      </c>
      <c r="J354" s="35"/>
      <c r="K354" s="36" t="n">
        <f aca="false">+F354*J354</f>
        <v>0</v>
      </c>
      <c r="L354" s="37" t="n">
        <f aca="false">I354*K354</f>
        <v>0</v>
      </c>
    </row>
    <row r="355" customFormat="false" ht="15" hidden="false" customHeight="false" outlineLevel="0" collapsed="false">
      <c r="A355" s="32" t="s">
        <v>729</v>
      </c>
      <c r="B355" s="32" t="s">
        <v>23</v>
      </c>
      <c r="C355" s="32" t="s">
        <v>730</v>
      </c>
      <c r="D355" s="32" t="s">
        <v>731</v>
      </c>
      <c r="E355" s="33" t="n">
        <v>8430942332075</v>
      </c>
      <c r="F355" s="33" t="n">
        <v>1</v>
      </c>
      <c r="G355" s="34" t="n">
        <v>11.89</v>
      </c>
      <c r="H355" s="33" t="n">
        <v>69</v>
      </c>
      <c r="I355" s="34" t="n">
        <f aca="false">G355*((100-H355)/100)</f>
        <v>3.6859</v>
      </c>
      <c r="J355" s="35"/>
      <c r="K355" s="36" t="n">
        <f aca="false">+F355*J355</f>
        <v>0</v>
      </c>
      <c r="L355" s="37" t="n">
        <f aca="false">I355*K355</f>
        <v>0</v>
      </c>
    </row>
    <row r="356" customFormat="false" ht="15" hidden="false" customHeight="false" outlineLevel="0" collapsed="false">
      <c r="A356" s="32" t="s">
        <v>732</v>
      </c>
      <c r="B356" s="32" t="s">
        <v>23</v>
      </c>
      <c r="C356" s="32" t="s">
        <v>733</v>
      </c>
      <c r="D356" s="32" t="s">
        <v>253</v>
      </c>
      <c r="E356" s="33" t="n">
        <v>8430942312718</v>
      </c>
      <c r="F356" s="33" t="n">
        <v>8</v>
      </c>
      <c r="G356" s="34" t="n">
        <v>26.63</v>
      </c>
      <c r="H356" s="33" t="n">
        <v>69</v>
      </c>
      <c r="I356" s="34" t="n">
        <f aca="false">G356*((100-H356)/100)</f>
        <v>8.2553</v>
      </c>
      <c r="J356" s="35"/>
      <c r="K356" s="36" t="n">
        <f aca="false">+F356*J356</f>
        <v>0</v>
      </c>
      <c r="L356" s="37" t="n">
        <f aca="false">I356*K356</f>
        <v>0</v>
      </c>
    </row>
    <row r="357" customFormat="false" ht="15" hidden="false" customHeight="false" outlineLevel="0" collapsed="false">
      <c r="A357" s="32" t="s">
        <v>734</v>
      </c>
      <c r="B357" s="32" t="s">
        <v>23</v>
      </c>
      <c r="C357" s="32" t="s">
        <v>735</v>
      </c>
      <c r="D357" s="32" t="s">
        <v>253</v>
      </c>
      <c r="E357" s="33" t="n">
        <v>8430942045784</v>
      </c>
      <c r="F357" s="33" t="n">
        <v>4</v>
      </c>
      <c r="G357" s="34" t="n">
        <v>27.7</v>
      </c>
      <c r="H357" s="33" t="n">
        <v>69</v>
      </c>
      <c r="I357" s="34" t="n">
        <f aca="false">G357*((100-H357)/100)</f>
        <v>8.587</v>
      </c>
      <c r="J357" s="35"/>
      <c r="K357" s="36" t="n">
        <f aca="false">+F357*J357</f>
        <v>0</v>
      </c>
      <c r="L357" s="37" t="n">
        <f aca="false">I357*K357</f>
        <v>0</v>
      </c>
    </row>
    <row r="358" customFormat="false" ht="15" hidden="false" customHeight="false" outlineLevel="0" collapsed="false">
      <c r="A358" s="32" t="s">
        <v>736</v>
      </c>
      <c r="B358" s="32" t="s">
        <v>23</v>
      </c>
      <c r="C358" s="32" t="s">
        <v>737</v>
      </c>
      <c r="D358" s="32" t="s">
        <v>253</v>
      </c>
      <c r="E358" s="33" t="n">
        <v>8430942043940</v>
      </c>
      <c r="F358" s="33" t="n">
        <v>8</v>
      </c>
      <c r="G358" s="34" t="n">
        <v>31.16</v>
      </c>
      <c r="H358" s="33" t="n">
        <v>69</v>
      </c>
      <c r="I358" s="34" t="n">
        <f aca="false">G358*((100-H358)/100)</f>
        <v>9.6596</v>
      </c>
      <c r="J358" s="35"/>
      <c r="K358" s="36" t="n">
        <f aca="false">+F358*J358</f>
        <v>0</v>
      </c>
      <c r="L358" s="37" t="n">
        <f aca="false">I358*K358</f>
        <v>0</v>
      </c>
    </row>
    <row r="359" customFormat="false" ht="15" hidden="false" customHeight="false" outlineLevel="0" collapsed="false">
      <c r="A359" s="32" t="s">
        <v>738</v>
      </c>
      <c r="B359" s="32" t="s">
        <v>23</v>
      </c>
      <c r="C359" s="32" t="s">
        <v>739</v>
      </c>
      <c r="D359" s="32" t="s">
        <v>253</v>
      </c>
      <c r="E359" s="33" t="n">
        <v>8430942045760</v>
      </c>
      <c r="F359" s="33" t="n">
        <v>4</v>
      </c>
      <c r="G359" s="34" t="n">
        <v>33.13</v>
      </c>
      <c r="H359" s="33" t="n">
        <v>69</v>
      </c>
      <c r="I359" s="34" t="n">
        <f aca="false">G359*((100-H359)/100)</f>
        <v>10.2703</v>
      </c>
      <c r="J359" s="35"/>
      <c r="K359" s="36" t="n">
        <f aca="false">+F359*J359</f>
        <v>0</v>
      </c>
      <c r="L359" s="37" t="n">
        <f aca="false">I359*K359</f>
        <v>0</v>
      </c>
    </row>
    <row r="360" customFormat="false" ht="15" hidden="false" customHeight="false" outlineLevel="0" collapsed="false">
      <c r="A360" s="32" t="s">
        <v>740</v>
      </c>
      <c r="B360" s="32" t="s">
        <v>23</v>
      </c>
      <c r="C360" s="32" t="s">
        <v>741</v>
      </c>
      <c r="D360" s="32" t="s">
        <v>731</v>
      </c>
      <c r="E360" s="33" t="n">
        <v>8430942331894</v>
      </c>
      <c r="F360" s="33" t="n">
        <v>1</v>
      </c>
      <c r="G360" s="34" t="n">
        <v>2.56</v>
      </c>
      <c r="H360" s="33" t="n">
        <v>69</v>
      </c>
      <c r="I360" s="34" t="n">
        <f aca="false">G360*((100-H360)/100)</f>
        <v>0.7936</v>
      </c>
      <c r="J360" s="35"/>
      <c r="K360" s="36" t="n">
        <f aca="false">+F360*J360</f>
        <v>0</v>
      </c>
      <c r="L360" s="37" t="n">
        <f aca="false">I360*K360</f>
        <v>0</v>
      </c>
    </row>
    <row r="361" customFormat="false" ht="15" hidden="false" customHeight="false" outlineLevel="0" collapsed="false">
      <c r="A361" s="32" t="s">
        <v>742</v>
      </c>
      <c r="B361" s="32" t="s">
        <v>23</v>
      </c>
      <c r="C361" s="32" t="s">
        <v>743</v>
      </c>
      <c r="D361" s="32" t="s">
        <v>731</v>
      </c>
      <c r="E361" s="33" t="n">
        <v>8430942331900</v>
      </c>
      <c r="F361" s="33" t="n">
        <v>1</v>
      </c>
      <c r="G361" s="34" t="n">
        <v>3.37</v>
      </c>
      <c r="H361" s="33" t="n">
        <v>69</v>
      </c>
      <c r="I361" s="34" t="n">
        <f aca="false">G361*((100-H361)/100)</f>
        <v>1.0447</v>
      </c>
      <c r="J361" s="35"/>
      <c r="K361" s="36" t="n">
        <f aca="false">+F361*J361</f>
        <v>0</v>
      </c>
      <c r="L361" s="37" t="n">
        <f aca="false">I361*K361</f>
        <v>0</v>
      </c>
    </row>
    <row r="362" customFormat="false" ht="15" hidden="false" customHeight="false" outlineLevel="0" collapsed="false">
      <c r="A362" s="32" t="s">
        <v>744</v>
      </c>
      <c r="B362" s="32" t="s">
        <v>23</v>
      </c>
      <c r="C362" s="32" t="s">
        <v>745</v>
      </c>
      <c r="D362" s="32" t="s">
        <v>278</v>
      </c>
      <c r="E362" s="33" t="n">
        <v>8430942331788</v>
      </c>
      <c r="F362" s="33" t="n">
        <v>10</v>
      </c>
      <c r="G362" s="34" t="n">
        <v>21.63</v>
      </c>
      <c r="H362" s="33" t="n">
        <v>69</v>
      </c>
      <c r="I362" s="34" t="n">
        <f aca="false">G362*((100-H362)/100)</f>
        <v>6.7053</v>
      </c>
      <c r="J362" s="35"/>
      <c r="K362" s="36" t="n">
        <f aca="false">+F362*J362</f>
        <v>0</v>
      </c>
      <c r="L362" s="37" t="n">
        <f aca="false">I362*K362</f>
        <v>0</v>
      </c>
    </row>
    <row r="363" customFormat="false" ht="15" hidden="false" customHeight="false" outlineLevel="0" collapsed="false">
      <c r="A363" s="32" t="s">
        <v>551</v>
      </c>
      <c r="B363" s="32" t="s">
        <v>23</v>
      </c>
      <c r="C363" s="32" t="s">
        <v>552</v>
      </c>
      <c r="D363" s="32" t="s">
        <v>278</v>
      </c>
      <c r="E363" s="33" t="n">
        <v>8430942331795</v>
      </c>
      <c r="F363" s="33" t="n">
        <v>10</v>
      </c>
      <c r="G363" s="34" t="n">
        <v>19.37</v>
      </c>
      <c r="H363" s="33" t="n">
        <v>69</v>
      </c>
      <c r="I363" s="34" t="n">
        <f aca="false">G363*((100-H363)/100)</f>
        <v>6.0047</v>
      </c>
      <c r="J363" s="35"/>
      <c r="K363" s="36" t="n">
        <f aca="false">+F363*J363</f>
        <v>0</v>
      </c>
      <c r="L363" s="37" t="n">
        <f aca="false">I363*K363</f>
        <v>0</v>
      </c>
    </row>
    <row r="364" customFormat="false" ht="15" hidden="false" customHeight="false" outlineLevel="0" collapsed="false">
      <c r="A364" s="32" t="s">
        <v>746</v>
      </c>
      <c r="B364" s="32" t="s">
        <v>23</v>
      </c>
      <c r="C364" s="32" t="s">
        <v>747</v>
      </c>
      <c r="D364" s="32" t="s">
        <v>731</v>
      </c>
      <c r="E364" s="33" t="n">
        <v>8430942332037</v>
      </c>
      <c r="F364" s="33" t="n">
        <v>10</v>
      </c>
      <c r="G364" s="34" t="n">
        <v>14.66</v>
      </c>
      <c r="H364" s="33" t="n">
        <v>69</v>
      </c>
      <c r="I364" s="34" t="n">
        <f aca="false">G364*((100-H364)/100)</f>
        <v>4.5446</v>
      </c>
      <c r="J364" s="35"/>
      <c r="K364" s="36" t="n">
        <f aca="false">+F364*J364</f>
        <v>0</v>
      </c>
      <c r="L364" s="37" t="n">
        <f aca="false">I364*K364</f>
        <v>0</v>
      </c>
    </row>
    <row r="365" customFormat="false" ht="15" hidden="false" customHeight="false" outlineLevel="0" collapsed="false">
      <c r="A365" s="32" t="s">
        <v>748</v>
      </c>
      <c r="B365" s="32" t="s">
        <v>23</v>
      </c>
      <c r="C365" s="32" t="s">
        <v>749</v>
      </c>
      <c r="D365" s="32" t="s">
        <v>731</v>
      </c>
      <c r="E365" s="33" t="n">
        <v>8430942352127</v>
      </c>
      <c r="F365" s="33" t="n">
        <v>10</v>
      </c>
      <c r="G365" s="34" t="n">
        <v>17.41</v>
      </c>
      <c r="H365" s="33" t="n">
        <v>69</v>
      </c>
      <c r="I365" s="34" t="n">
        <f aca="false">G365*((100-H365)/100)</f>
        <v>5.3971</v>
      </c>
      <c r="J365" s="35"/>
      <c r="K365" s="36" t="n">
        <f aca="false">+F365*J365</f>
        <v>0</v>
      </c>
      <c r="L365" s="37" t="n">
        <f aca="false">I365*K365</f>
        <v>0</v>
      </c>
    </row>
    <row r="366" customFormat="false" ht="15" hidden="false" customHeight="false" outlineLevel="0" collapsed="false">
      <c r="A366" s="32" t="s">
        <v>750</v>
      </c>
      <c r="B366" s="32" t="s">
        <v>23</v>
      </c>
      <c r="C366" s="32" t="s">
        <v>751</v>
      </c>
      <c r="D366" s="32" t="s">
        <v>240</v>
      </c>
      <c r="E366" s="33" t="n">
        <v>8430942326968</v>
      </c>
      <c r="F366" s="33" t="n">
        <v>1</v>
      </c>
      <c r="G366" s="34" t="n">
        <v>25.01</v>
      </c>
      <c r="H366" s="33" t="n">
        <v>69</v>
      </c>
      <c r="I366" s="34" t="n">
        <f aca="false">G366*((100-H366)/100)</f>
        <v>7.7531</v>
      </c>
      <c r="J366" s="35"/>
      <c r="K366" s="36" t="n">
        <f aca="false">+F366*J366</f>
        <v>0</v>
      </c>
      <c r="L366" s="37" t="n">
        <f aca="false">I366*K366</f>
        <v>0</v>
      </c>
    </row>
    <row r="367" customFormat="false" ht="15" hidden="false" customHeight="false" outlineLevel="0" collapsed="false">
      <c r="A367" s="32" t="s">
        <v>752</v>
      </c>
      <c r="B367" s="32" t="s">
        <v>23</v>
      </c>
      <c r="C367" s="32" t="s">
        <v>753</v>
      </c>
      <c r="D367" s="32" t="s">
        <v>240</v>
      </c>
      <c r="E367" s="33" t="n">
        <v>8430942326975</v>
      </c>
      <c r="F367" s="33" t="n">
        <v>1</v>
      </c>
      <c r="G367" s="34" t="n">
        <v>26.66</v>
      </c>
      <c r="H367" s="33" t="n">
        <v>69</v>
      </c>
      <c r="I367" s="34" t="n">
        <f aca="false">G367*((100-H367)/100)</f>
        <v>8.2646</v>
      </c>
      <c r="J367" s="35"/>
      <c r="K367" s="36" t="n">
        <f aca="false">+F367*J367</f>
        <v>0</v>
      </c>
      <c r="L367" s="37" t="n">
        <f aca="false">I367*K367</f>
        <v>0</v>
      </c>
    </row>
    <row r="368" customFormat="false" ht="15" hidden="false" customHeight="false" outlineLevel="0" collapsed="false">
      <c r="A368" s="44" t="s">
        <v>754</v>
      </c>
      <c r="B368" s="32" t="s">
        <v>23</v>
      </c>
      <c r="C368" s="32" t="s">
        <v>755</v>
      </c>
      <c r="D368" s="32" t="s">
        <v>588</v>
      </c>
      <c r="E368" s="33" t="n">
        <v>8430942326876</v>
      </c>
      <c r="F368" s="33" t="n">
        <v>1</v>
      </c>
      <c r="G368" s="34" t="n">
        <v>18.39</v>
      </c>
      <c r="H368" s="33" t="n">
        <v>69</v>
      </c>
      <c r="I368" s="34" t="n">
        <f aca="false">G368*((100-H368)/100)</f>
        <v>5.7009</v>
      </c>
      <c r="J368" s="35"/>
      <c r="K368" s="36" t="n">
        <f aca="false">+F368*J368</f>
        <v>0</v>
      </c>
      <c r="L368" s="37" t="n">
        <f aca="false">I368*K368</f>
        <v>0</v>
      </c>
    </row>
    <row r="369" customFormat="false" ht="15" hidden="false" customHeight="false" outlineLevel="0" collapsed="false">
      <c r="A369" s="44" t="s">
        <v>586</v>
      </c>
      <c r="B369" s="32" t="s">
        <v>23</v>
      </c>
      <c r="C369" s="32" t="s">
        <v>587</v>
      </c>
      <c r="D369" s="32" t="s">
        <v>588</v>
      </c>
      <c r="E369" s="33" t="n">
        <v>8430942326883</v>
      </c>
      <c r="F369" s="33" t="n">
        <v>1</v>
      </c>
      <c r="G369" s="34" t="n">
        <v>19.33</v>
      </c>
      <c r="H369" s="33" t="n">
        <v>69</v>
      </c>
      <c r="I369" s="34" t="n">
        <f aca="false">G369*((100-H369)/100)</f>
        <v>5.9923</v>
      </c>
      <c r="J369" s="35"/>
      <c r="K369" s="36" t="n">
        <f aca="false">+F369*J369</f>
        <v>0</v>
      </c>
      <c r="L369" s="37" t="n">
        <f aca="false">I369*K369</f>
        <v>0</v>
      </c>
    </row>
    <row r="370" customFormat="false" ht="15" hidden="false" customHeight="false" outlineLevel="0" collapsed="false">
      <c r="A370" s="32" t="s">
        <v>756</v>
      </c>
      <c r="B370" s="32" t="s">
        <v>23</v>
      </c>
      <c r="C370" s="32" t="s">
        <v>757</v>
      </c>
      <c r="D370" s="32" t="s">
        <v>758</v>
      </c>
      <c r="E370" s="33" t="n">
        <v>8430942327057</v>
      </c>
      <c r="F370" s="33" t="n">
        <v>1</v>
      </c>
      <c r="G370" s="34" t="n">
        <v>9.45</v>
      </c>
      <c r="H370" s="33" t="n">
        <v>69</v>
      </c>
      <c r="I370" s="34" t="n">
        <f aca="false">G370*((100-H370)/100)</f>
        <v>2.9295</v>
      </c>
      <c r="J370" s="35"/>
      <c r="K370" s="36" t="n">
        <f aca="false">+F370*J370</f>
        <v>0</v>
      </c>
      <c r="L370" s="37" t="n">
        <f aca="false">I370*K370</f>
        <v>0</v>
      </c>
    </row>
    <row r="371" customFormat="false" ht="15" hidden="false" customHeight="false" outlineLevel="0" collapsed="false">
      <c r="A371" s="32" t="s">
        <v>759</v>
      </c>
      <c r="B371" s="32" t="s">
        <v>23</v>
      </c>
      <c r="C371" s="32" t="s">
        <v>760</v>
      </c>
      <c r="D371" s="32" t="s">
        <v>758</v>
      </c>
      <c r="E371" s="33" t="n">
        <v>8430942327064</v>
      </c>
      <c r="F371" s="33" t="n">
        <v>1</v>
      </c>
      <c r="G371" s="34" t="n">
        <v>9.45</v>
      </c>
      <c r="H371" s="33" t="n">
        <v>69</v>
      </c>
      <c r="I371" s="34" t="n">
        <f aca="false">G371*((100-H371)/100)</f>
        <v>2.9295</v>
      </c>
      <c r="J371" s="35"/>
      <c r="K371" s="36" t="n">
        <f aca="false">+F371*J371</f>
        <v>0</v>
      </c>
      <c r="L371" s="37" t="n">
        <f aca="false">I371*K371</f>
        <v>0</v>
      </c>
    </row>
    <row r="372" customFormat="false" ht="15" hidden="false" customHeight="false" outlineLevel="0" collapsed="false">
      <c r="A372" s="32" t="s">
        <v>761</v>
      </c>
      <c r="B372" s="32" t="s">
        <v>23</v>
      </c>
      <c r="C372" s="32" t="s">
        <v>762</v>
      </c>
      <c r="D372" s="32" t="s">
        <v>291</v>
      </c>
      <c r="E372" s="33" t="n">
        <v>8430942311445</v>
      </c>
      <c r="F372" s="33" t="n">
        <v>1</v>
      </c>
      <c r="G372" s="34" t="n">
        <v>42.41</v>
      </c>
      <c r="H372" s="33" t="n">
        <v>69</v>
      </c>
      <c r="I372" s="34" t="n">
        <f aca="false">G372*((100-H372)/100)</f>
        <v>13.1471</v>
      </c>
      <c r="J372" s="35"/>
      <c r="K372" s="36" t="n">
        <f aca="false">+F372*J372</f>
        <v>0</v>
      </c>
      <c r="L372" s="37" t="n">
        <f aca="false">I372*K372</f>
        <v>0</v>
      </c>
    </row>
    <row r="373" customFormat="false" ht="15" hidden="false" customHeight="false" outlineLevel="0" collapsed="false">
      <c r="A373" s="32" t="s">
        <v>763</v>
      </c>
      <c r="B373" s="32" t="s">
        <v>23</v>
      </c>
      <c r="C373" s="32" t="s">
        <v>764</v>
      </c>
      <c r="D373" s="32" t="s">
        <v>291</v>
      </c>
      <c r="E373" s="33" t="n">
        <v>8430942045807</v>
      </c>
      <c r="F373" s="33" t="n">
        <v>1</v>
      </c>
      <c r="G373" s="34" t="n">
        <v>47.88</v>
      </c>
      <c r="H373" s="33" t="n">
        <v>69</v>
      </c>
      <c r="I373" s="34" t="n">
        <f aca="false">G373*((100-H373)/100)</f>
        <v>14.8428</v>
      </c>
      <c r="J373" s="35"/>
      <c r="K373" s="36" t="n">
        <f aca="false">+F373*J373</f>
        <v>0</v>
      </c>
      <c r="L373" s="37" t="n">
        <f aca="false">I373*K373</f>
        <v>0</v>
      </c>
    </row>
    <row r="374" customFormat="false" ht="15" hidden="false" customHeight="false" outlineLevel="0" collapsed="false">
      <c r="A374" s="32" t="s">
        <v>765</v>
      </c>
      <c r="B374" s="32" t="s">
        <v>23</v>
      </c>
      <c r="C374" s="32" t="s">
        <v>766</v>
      </c>
      <c r="D374" s="32" t="s">
        <v>304</v>
      </c>
      <c r="E374" s="33" t="n">
        <v>8430942311452</v>
      </c>
      <c r="F374" s="33" t="n">
        <v>1</v>
      </c>
      <c r="G374" s="34" t="n">
        <v>52.3</v>
      </c>
      <c r="H374" s="33" t="n">
        <v>69</v>
      </c>
      <c r="I374" s="34" t="n">
        <f aca="false">G374*((100-H374)/100)</f>
        <v>16.213</v>
      </c>
      <c r="J374" s="35"/>
      <c r="K374" s="36" t="n">
        <f aca="false">+F374*J374</f>
        <v>0</v>
      </c>
      <c r="L374" s="37" t="n">
        <f aca="false">I374*K374</f>
        <v>0</v>
      </c>
    </row>
    <row r="375" customFormat="false" ht="15" hidden="false" customHeight="false" outlineLevel="0" collapsed="false">
      <c r="A375" s="32" t="s">
        <v>767</v>
      </c>
      <c r="B375" s="32" t="s">
        <v>23</v>
      </c>
      <c r="C375" s="32" t="s">
        <v>768</v>
      </c>
      <c r="D375" s="32" t="s">
        <v>304</v>
      </c>
      <c r="E375" s="33" t="n">
        <v>8430942045791</v>
      </c>
      <c r="F375" s="33" t="n">
        <v>1</v>
      </c>
      <c r="G375" s="34" t="n">
        <v>53.69</v>
      </c>
      <c r="H375" s="33" t="n">
        <v>69</v>
      </c>
      <c r="I375" s="34" t="n">
        <f aca="false">G375*((100-H375)/100)</f>
        <v>16.6439</v>
      </c>
      <c r="J375" s="35"/>
      <c r="K375" s="36" t="n">
        <f aca="false">+F375*J375</f>
        <v>0</v>
      </c>
      <c r="L375" s="37" t="n">
        <f aca="false">I375*K375</f>
        <v>0</v>
      </c>
    </row>
    <row r="376" customFormat="false" ht="15" hidden="false" customHeight="false" outlineLevel="0" collapsed="false">
      <c r="A376" s="32" t="s">
        <v>769</v>
      </c>
      <c r="B376" s="32" t="s">
        <v>23</v>
      </c>
      <c r="C376" s="32" t="s">
        <v>770</v>
      </c>
      <c r="D376" s="32" t="s">
        <v>771</v>
      </c>
      <c r="E376" s="33" t="n">
        <v>8430942332112</v>
      </c>
      <c r="F376" s="33" t="n">
        <v>1</v>
      </c>
      <c r="G376" s="34" t="n">
        <v>82.79</v>
      </c>
      <c r="H376" s="33" t="n">
        <v>69</v>
      </c>
      <c r="I376" s="34" t="n">
        <f aca="false">G376*((100-H376)/100)</f>
        <v>25.6649</v>
      </c>
      <c r="J376" s="35"/>
      <c r="K376" s="36" t="n">
        <f aca="false">+F376*J376</f>
        <v>0</v>
      </c>
      <c r="L376" s="37" t="n">
        <f aca="false">I376*K376</f>
        <v>0</v>
      </c>
    </row>
    <row r="377" customFormat="false" ht="15" hidden="false" customHeight="false" outlineLevel="0" collapsed="false">
      <c r="A377" s="32" t="s">
        <v>772</v>
      </c>
      <c r="B377" s="32" t="s">
        <v>23</v>
      </c>
      <c r="C377" s="32" t="s">
        <v>773</v>
      </c>
      <c r="D377" s="32" t="s">
        <v>771</v>
      </c>
      <c r="E377" s="33" t="n">
        <v>8430942332129</v>
      </c>
      <c r="F377" s="33" t="n">
        <v>1</v>
      </c>
      <c r="G377" s="34" t="n">
        <v>86.82</v>
      </c>
      <c r="H377" s="33" t="n">
        <v>69</v>
      </c>
      <c r="I377" s="34" t="n">
        <f aca="false">G377*((100-H377)/100)</f>
        <v>26.9142</v>
      </c>
      <c r="J377" s="35"/>
      <c r="K377" s="36" t="n">
        <f aca="false">+F377*J377</f>
        <v>0</v>
      </c>
      <c r="L377" s="37" t="n">
        <f aca="false">I377*K377</f>
        <v>0</v>
      </c>
    </row>
    <row r="378" customFormat="false" ht="15" hidden="false" customHeight="false" outlineLevel="0" collapsed="false">
      <c r="A378" s="32" t="s">
        <v>774</v>
      </c>
      <c r="B378" s="32" t="s">
        <v>23</v>
      </c>
      <c r="C378" s="32" t="s">
        <v>775</v>
      </c>
      <c r="D378" s="32" t="s">
        <v>771</v>
      </c>
      <c r="E378" s="33" t="n">
        <v>8430942332099</v>
      </c>
      <c r="F378" s="33" t="n">
        <v>1</v>
      </c>
      <c r="G378" s="34" t="n">
        <v>39.41</v>
      </c>
      <c r="H378" s="33" t="n">
        <v>69</v>
      </c>
      <c r="I378" s="34" t="n">
        <f aca="false">G378*((100-H378)/100)</f>
        <v>12.2171</v>
      </c>
      <c r="J378" s="35"/>
      <c r="K378" s="36" t="n">
        <f aca="false">+F378*J378</f>
        <v>0</v>
      </c>
      <c r="L378" s="37" t="n">
        <f aca="false">I378*K378</f>
        <v>0</v>
      </c>
    </row>
    <row r="379" customFormat="false" ht="15" hidden="false" customHeight="false" outlineLevel="0" collapsed="false">
      <c r="A379" s="32" t="s">
        <v>776</v>
      </c>
      <c r="B379" s="32" t="s">
        <v>23</v>
      </c>
      <c r="C379" s="32" t="s">
        <v>777</v>
      </c>
      <c r="D379" s="32" t="s">
        <v>771</v>
      </c>
      <c r="E379" s="33" t="n">
        <v>8430942332105</v>
      </c>
      <c r="F379" s="33" t="n">
        <v>1</v>
      </c>
      <c r="G379" s="34" t="n">
        <v>44.73</v>
      </c>
      <c r="H379" s="33" t="n">
        <v>69</v>
      </c>
      <c r="I379" s="34" t="n">
        <f aca="false">G379*((100-H379)/100)</f>
        <v>13.8663</v>
      </c>
      <c r="J379" s="35"/>
      <c r="K379" s="36" t="n">
        <f aca="false">+F379*J379</f>
        <v>0</v>
      </c>
      <c r="L379" s="37" t="n">
        <f aca="false">I379*K379</f>
        <v>0</v>
      </c>
    </row>
    <row r="380" customFormat="false" ht="15" hidden="false" customHeight="false" outlineLevel="0" collapsed="false">
      <c r="A380" s="32" t="s">
        <v>778</v>
      </c>
      <c r="B380" s="32" t="s">
        <v>23</v>
      </c>
      <c r="C380" s="32" t="s">
        <v>779</v>
      </c>
      <c r="D380" s="32" t="s">
        <v>771</v>
      </c>
      <c r="E380" s="33" t="n">
        <v>8430942359485</v>
      </c>
      <c r="F380" s="33" t="n">
        <v>1</v>
      </c>
      <c r="G380" s="34" t="n">
        <v>36.23</v>
      </c>
      <c r="H380" s="33" t="n">
        <v>69</v>
      </c>
      <c r="I380" s="34" t="n">
        <f aca="false">G380*((100-H380)/100)</f>
        <v>11.2313</v>
      </c>
      <c r="J380" s="35"/>
      <c r="K380" s="36" t="n">
        <f aca="false">+F380*J380</f>
        <v>0</v>
      </c>
      <c r="L380" s="37" t="n">
        <f aca="false">I380*K380</f>
        <v>0</v>
      </c>
    </row>
    <row r="381" customFormat="false" ht="15" hidden="false" customHeight="false" outlineLevel="0" collapsed="false">
      <c r="A381" s="32" t="s">
        <v>780</v>
      </c>
      <c r="B381" s="32" t="s">
        <v>23</v>
      </c>
      <c r="C381" s="32" t="s">
        <v>781</v>
      </c>
      <c r="D381" s="32" t="s">
        <v>771</v>
      </c>
      <c r="E381" s="33" t="n">
        <v>8430942359492</v>
      </c>
      <c r="F381" s="33" t="n">
        <v>1</v>
      </c>
      <c r="G381" s="34" t="n">
        <v>39.61</v>
      </c>
      <c r="H381" s="33" t="n">
        <v>69</v>
      </c>
      <c r="I381" s="34" t="n">
        <f aca="false">G381*((100-H381)/100)</f>
        <v>12.2791</v>
      </c>
      <c r="J381" s="35"/>
      <c r="K381" s="36" t="n">
        <f aca="false">+F381*J381</f>
        <v>0</v>
      </c>
      <c r="L381" s="37" t="n">
        <f aca="false">I381*K381</f>
        <v>0</v>
      </c>
    </row>
    <row r="382" customFormat="false" ht="15" hidden="false" customHeight="false" outlineLevel="0" collapsed="false">
      <c r="A382" s="32" t="s">
        <v>315</v>
      </c>
      <c r="B382" s="32" t="s">
        <v>23</v>
      </c>
      <c r="C382" s="32" t="s">
        <v>316</v>
      </c>
      <c r="D382" s="32" t="s">
        <v>317</v>
      </c>
      <c r="E382" s="33" t="n">
        <v>8430942359652</v>
      </c>
      <c r="F382" s="33" t="n">
        <v>1</v>
      </c>
      <c r="G382" s="34" t="n">
        <v>37.5</v>
      </c>
      <c r="H382" s="33" t="n">
        <v>69</v>
      </c>
      <c r="I382" s="34" t="n">
        <f aca="false">G382*((100-H382)/100)</f>
        <v>11.625</v>
      </c>
      <c r="J382" s="35"/>
      <c r="K382" s="36" t="n">
        <f aca="false">+F382*J382</f>
        <v>0</v>
      </c>
      <c r="L382" s="37" t="n">
        <f aca="false">I382*K382</f>
        <v>0</v>
      </c>
    </row>
    <row r="383" customFormat="false" ht="15" hidden="false" customHeight="false" outlineLevel="0" collapsed="false">
      <c r="A383" s="34" t="s">
        <v>782</v>
      </c>
      <c r="B383" s="32" t="s">
        <v>23</v>
      </c>
      <c r="C383" s="32" t="s">
        <v>783</v>
      </c>
      <c r="D383" s="32" t="s">
        <v>25</v>
      </c>
      <c r="E383" s="33" t="n">
        <v>8430942039653</v>
      </c>
      <c r="F383" s="33" t="n">
        <v>4</v>
      </c>
      <c r="G383" s="34" t="n">
        <v>43.62</v>
      </c>
      <c r="H383" s="33" t="n">
        <v>69</v>
      </c>
      <c r="I383" s="34" t="n">
        <f aca="false">G383*((100-H383)/100)</f>
        <v>13.5222</v>
      </c>
      <c r="J383" s="35"/>
      <c r="K383" s="36" t="n">
        <f aca="false">+F383*J383</f>
        <v>0</v>
      </c>
      <c r="L383" s="37" t="n">
        <f aca="false">I383*K383</f>
        <v>0</v>
      </c>
    </row>
    <row r="384" customFormat="false" ht="15" hidden="false" customHeight="false" outlineLevel="0" collapsed="false">
      <c r="A384" s="34" t="s">
        <v>784</v>
      </c>
      <c r="B384" s="32" t="s">
        <v>23</v>
      </c>
      <c r="C384" s="32" t="s">
        <v>785</v>
      </c>
      <c r="D384" s="32" t="s">
        <v>25</v>
      </c>
      <c r="E384" s="33" t="n">
        <v>8430942305666</v>
      </c>
      <c r="F384" s="33" t="n">
        <v>4</v>
      </c>
      <c r="G384" s="34" t="n">
        <v>51.63</v>
      </c>
      <c r="H384" s="33" t="n">
        <v>69</v>
      </c>
      <c r="I384" s="34" t="n">
        <f aca="false">G384*((100-H384)/100)</f>
        <v>16.0053</v>
      </c>
      <c r="J384" s="35"/>
      <c r="K384" s="36" t="n">
        <f aca="false">+F384*J384</f>
        <v>0</v>
      </c>
      <c r="L384" s="37" t="n">
        <f aca="false">I384*K384</f>
        <v>0</v>
      </c>
    </row>
    <row r="385" customFormat="false" ht="15" hidden="false" customHeight="false" outlineLevel="0" collapsed="false">
      <c r="A385" s="34" t="s">
        <v>786</v>
      </c>
      <c r="B385" s="32" t="s">
        <v>23</v>
      </c>
      <c r="C385" s="32" t="s">
        <v>787</v>
      </c>
      <c r="D385" s="32" t="s">
        <v>25</v>
      </c>
      <c r="E385" s="33" t="n">
        <v>8430942039660</v>
      </c>
      <c r="F385" s="33" t="n">
        <v>4</v>
      </c>
      <c r="G385" s="34" t="n">
        <v>28.19</v>
      </c>
      <c r="H385" s="33" t="n">
        <v>69</v>
      </c>
      <c r="I385" s="34" t="n">
        <f aca="false">G385*((100-H385)/100)</f>
        <v>8.7389</v>
      </c>
      <c r="J385" s="35"/>
      <c r="K385" s="36" t="n">
        <f aca="false">+F385*J385</f>
        <v>0</v>
      </c>
      <c r="L385" s="37" t="n">
        <f aca="false">I385*K385</f>
        <v>0</v>
      </c>
    </row>
    <row r="386" customFormat="false" ht="15" hidden="false" customHeight="false" outlineLevel="0" collapsed="false">
      <c r="A386" s="34" t="s">
        <v>788</v>
      </c>
      <c r="B386" s="32" t="s">
        <v>23</v>
      </c>
      <c r="C386" s="32" t="s">
        <v>789</v>
      </c>
      <c r="D386" s="32" t="s">
        <v>25</v>
      </c>
      <c r="E386" s="33" t="n">
        <v>8430942305673</v>
      </c>
      <c r="F386" s="33" t="n">
        <v>4</v>
      </c>
      <c r="G386" s="34" t="n">
        <v>33.65</v>
      </c>
      <c r="H386" s="33" t="n">
        <v>69</v>
      </c>
      <c r="I386" s="34" t="n">
        <f aca="false">G386*((100-H386)/100)</f>
        <v>10.4315</v>
      </c>
      <c r="J386" s="35"/>
      <c r="K386" s="36" t="n">
        <f aca="false">+F386*J386</f>
        <v>0</v>
      </c>
      <c r="L386" s="37" t="n">
        <f aca="false">I386*K386</f>
        <v>0</v>
      </c>
    </row>
    <row r="387" customFormat="false" ht="15" hidden="false" customHeight="false" outlineLevel="0" collapsed="false">
      <c r="A387" s="34" t="s">
        <v>790</v>
      </c>
      <c r="B387" s="32" t="s">
        <v>23</v>
      </c>
      <c r="C387" s="32" t="s">
        <v>791</v>
      </c>
      <c r="D387" s="32" t="s">
        <v>25</v>
      </c>
      <c r="E387" s="33" t="n">
        <v>8430942039677</v>
      </c>
      <c r="F387" s="33" t="n">
        <v>4</v>
      </c>
      <c r="G387" s="34" t="n">
        <v>19.86</v>
      </c>
      <c r="H387" s="33" t="n">
        <v>69</v>
      </c>
      <c r="I387" s="34" t="n">
        <f aca="false">G387*((100-H387)/100)</f>
        <v>6.1566</v>
      </c>
      <c r="J387" s="35"/>
      <c r="K387" s="36" t="n">
        <f aca="false">+F387*J387</f>
        <v>0</v>
      </c>
      <c r="L387" s="37" t="n">
        <f aca="false">I387*K387</f>
        <v>0</v>
      </c>
    </row>
    <row r="388" customFormat="false" ht="15" hidden="false" customHeight="false" outlineLevel="0" collapsed="false">
      <c r="A388" s="34" t="s">
        <v>792</v>
      </c>
      <c r="B388" s="32" t="s">
        <v>23</v>
      </c>
      <c r="C388" s="32" t="s">
        <v>793</v>
      </c>
      <c r="D388" s="32" t="s">
        <v>25</v>
      </c>
      <c r="E388" s="33" t="n">
        <v>8430942305680</v>
      </c>
      <c r="F388" s="33" t="n">
        <v>4</v>
      </c>
      <c r="G388" s="34" t="n">
        <v>23.43</v>
      </c>
      <c r="H388" s="33" t="n">
        <v>69</v>
      </c>
      <c r="I388" s="34" t="n">
        <f aca="false">G388*((100-H388)/100)</f>
        <v>7.2633</v>
      </c>
      <c r="J388" s="35"/>
      <c r="K388" s="36" t="n">
        <f aca="false">+F388*J388</f>
        <v>0</v>
      </c>
      <c r="L388" s="37" t="n">
        <f aca="false">I388*K388</f>
        <v>0</v>
      </c>
    </row>
    <row r="389" customFormat="false" ht="15" hidden="false" customHeight="false" outlineLevel="0" collapsed="false">
      <c r="A389" s="34" t="s">
        <v>794</v>
      </c>
      <c r="B389" s="32" t="s">
        <v>23</v>
      </c>
      <c r="C389" s="32" t="s">
        <v>795</v>
      </c>
      <c r="D389" s="32" t="s">
        <v>25</v>
      </c>
      <c r="E389" s="33" t="n">
        <v>8430942353544</v>
      </c>
      <c r="F389" s="33" t="n">
        <v>1</v>
      </c>
      <c r="G389" s="34" t="n">
        <v>70.19</v>
      </c>
      <c r="H389" s="33" t="n">
        <v>69</v>
      </c>
      <c r="I389" s="34" t="n">
        <f aca="false">G389*((100-H389)/100)</f>
        <v>21.7589</v>
      </c>
      <c r="J389" s="35"/>
      <c r="K389" s="36" t="n">
        <f aca="false">+F389*J389</f>
        <v>0</v>
      </c>
      <c r="L389" s="37" t="n">
        <f aca="false">I389*K389</f>
        <v>0</v>
      </c>
    </row>
    <row r="390" customFormat="false" ht="15" hidden="false" customHeight="false" outlineLevel="0" collapsed="false">
      <c r="A390" s="34" t="s">
        <v>796</v>
      </c>
      <c r="B390" s="32" t="s">
        <v>23</v>
      </c>
      <c r="C390" s="32" t="s">
        <v>797</v>
      </c>
      <c r="D390" s="32" t="s">
        <v>25</v>
      </c>
      <c r="E390" s="33" t="n">
        <v>8430942353568</v>
      </c>
      <c r="F390" s="33" t="n">
        <v>1</v>
      </c>
      <c r="G390" s="34" t="n">
        <v>81.28</v>
      </c>
      <c r="H390" s="33" t="n">
        <v>69</v>
      </c>
      <c r="I390" s="34" t="n">
        <f aca="false">G390*((100-H390)/100)</f>
        <v>25.1968</v>
      </c>
      <c r="J390" s="35"/>
      <c r="K390" s="36" t="n">
        <f aca="false">+F390*J390</f>
        <v>0</v>
      </c>
      <c r="L390" s="37" t="n">
        <f aca="false">I390*K390</f>
        <v>0</v>
      </c>
    </row>
    <row r="391" customFormat="false" ht="15" hidden="false" customHeight="false" outlineLevel="0" collapsed="false">
      <c r="A391" s="34" t="s">
        <v>798</v>
      </c>
      <c r="B391" s="32" t="s">
        <v>23</v>
      </c>
      <c r="C391" s="32" t="s">
        <v>799</v>
      </c>
      <c r="D391" s="32" t="s">
        <v>25</v>
      </c>
      <c r="E391" s="33" t="n">
        <v>8430942353551</v>
      </c>
      <c r="F391" s="33" t="n">
        <v>1</v>
      </c>
      <c r="G391" s="34" t="n">
        <v>67.14</v>
      </c>
      <c r="H391" s="33" t="n">
        <v>69</v>
      </c>
      <c r="I391" s="34" t="n">
        <f aca="false">G391*((100-H391)/100)</f>
        <v>20.8134</v>
      </c>
      <c r="J391" s="35"/>
      <c r="K391" s="36" t="n">
        <f aca="false">+F391*J391</f>
        <v>0</v>
      </c>
      <c r="L391" s="37" t="n">
        <f aca="false">I391*K391</f>
        <v>0</v>
      </c>
    </row>
    <row r="392" customFormat="false" ht="15" hidden="false" customHeight="false" outlineLevel="0" collapsed="false">
      <c r="A392" s="34" t="s">
        <v>800</v>
      </c>
      <c r="B392" s="32" t="s">
        <v>23</v>
      </c>
      <c r="C392" s="32" t="s">
        <v>801</v>
      </c>
      <c r="D392" s="32" t="s">
        <v>25</v>
      </c>
      <c r="E392" s="33" t="n">
        <v>8430942353575</v>
      </c>
      <c r="F392" s="33" t="n">
        <v>1</v>
      </c>
      <c r="G392" s="34" t="n">
        <v>76.65</v>
      </c>
      <c r="H392" s="33" t="n">
        <v>69</v>
      </c>
      <c r="I392" s="34" t="n">
        <f aca="false">G392*((100-H392)/100)</f>
        <v>23.7615</v>
      </c>
      <c r="J392" s="35"/>
      <c r="K392" s="36" t="n">
        <f aca="false">+F392*J392</f>
        <v>0</v>
      </c>
      <c r="L392" s="37" t="n">
        <f aca="false">I392*K392</f>
        <v>0</v>
      </c>
    </row>
    <row r="393" customFormat="false" ht="15" hidden="false" customHeight="false" outlineLevel="0" collapsed="false">
      <c r="A393" s="34" t="s">
        <v>802</v>
      </c>
      <c r="B393" s="32" t="s">
        <v>23</v>
      </c>
      <c r="C393" s="32" t="s">
        <v>803</v>
      </c>
      <c r="D393" s="32" t="s">
        <v>126</v>
      </c>
      <c r="E393" s="33" t="n">
        <v>8430942039776</v>
      </c>
      <c r="F393" s="33" t="n">
        <v>4</v>
      </c>
      <c r="G393" s="34" t="n">
        <v>27.98</v>
      </c>
      <c r="H393" s="33" t="n">
        <v>69</v>
      </c>
      <c r="I393" s="34" t="n">
        <f aca="false">G393*((100-H393)/100)</f>
        <v>8.6738</v>
      </c>
      <c r="J393" s="35"/>
      <c r="K393" s="36" t="n">
        <f aca="false">+F393*J393</f>
        <v>0</v>
      </c>
      <c r="L393" s="37" t="n">
        <f aca="false">I393*K393</f>
        <v>0</v>
      </c>
    </row>
    <row r="394" customFormat="false" ht="15" hidden="false" customHeight="false" outlineLevel="0" collapsed="false">
      <c r="A394" s="34" t="s">
        <v>804</v>
      </c>
      <c r="B394" s="32" t="s">
        <v>23</v>
      </c>
      <c r="C394" s="32" t="s">
        <v>805</v>
      </c>
      <c r="D394" s="32" t="s">
        <v>126</v>
      </c>
      <c r="E394" s="33" t="n">
        <v>8430942039790</v>
      </c>
      <c r="F394" s="33" t="n">
        <v>4</v>
      </c>
      <c r="G394" s="34" t="n">
        <v>32.85</v>
      </c>
      <c r="H394" s="33" t="n">
        <v>69</v>
      </c>
      <c r="I394" s="34" t="n">
        <f aca="false">G394*((100-H394)/100)</f>
        <v>10.1835</v>
      </c>
      <c r="J394" s="35"/>
      <c r="K394" s="36" t="n">
        <f aca="false">+F394*J394</f>
        <v>0</v>
      </c>
      <c r="L394" s="37" t="n">
        <f aca="false">I394*K394</f>
        <v>0</v>
      </c>
    </row>
    <row r="395" customFormat="false" ht="15" hidden="false" customHeight="false" outlineLevel="0" collapsed="false">
      <c r="A395" s="34" t="s">
        <v>806</v>
      </c>
      <c r="B395" s="32" t="s">
        <v>23</v>
      </c>
      <c r="C395" s="32" t="s">
        <v>807</v>
      </c>
      <c r="D395" s="32" t="s">
        <v>126</v>
      </c>
      <c r="E395" s="33" t="n">
        <v>8430942039783</v>
      </c>
      <c r="F395" s="33" t="n">
        <v>4</v>
      </c>
      <c r="G395" s="34" t="n">
        <v>40.31</v>
      </c>
      <c r="H395" s="33" t="n">
        <v>69</v>
      </c>
      <c r="I395" s="34" t="n">
        <f aca="false">G395*((100-H395)/100)</f>
        <v>12.4961</v>
      </c>
      <c r="J395" s="35"/>
      <c r="K395" s="36" t="n">
        <f aca="false">+F395*J395</f>
        <v>0</v>
      </c>
      <c r="L395" s="37" t="n">
        <f aca="false">I395*K395</f>
        <v>0</v>
      </c>
    </row>
    <row r="396" customFormat="false" ht="15" hidden="false" customHeight="false" outlineLevel="0" collapsed="false">
      <c r="A396" s="34" t="s">
        <v>808</v>
      </c>
      <c r="B396" s="32" t="s">
        <v>23</v>
      </c>
      <c r="C396" s="32" t="s">
        <v>809</v>
      </c>
      <c r="D396" s="32" t="s">
        <v>126</v>
      </c>
      <c r="E396" s="33" t="n">
        <v>8430942038656</v>
      </c>
      <c r="F396" s="33" t="n">
        <v>4</v>
      </c>
      <c r="G396" s="34" t="n">
        <v>46.22</v>
      </c>
      <c r="H396" s="33" t="n">
        <v>69</v>
      </c>
      <c r="I396" s="34" t="n">
        <f aca="false">G396*((100-H396)/100)</f>
        <v>14.3282</v>
      </c>
      <c r="J396" s="35"/>
      <c r="K396" s="36" t="n">
        <f aca="false">+F396*J396</f>
        <v>0</v>
      </c>
      <c r="L396" s="37" t="n">
        <f aca="false">I396*K396</f>
        <v>0</v>
      </c>
    </row>
    <row r="397" customFormat="false" ht="15" hidden="false" customHeight="false" outlineLevel="0" collapsed="false">
      <c r="A397" s="34" t="s">
        <v>810</v>
      </c>
      <c r="B397" s="32" t="s">
        <v>23</v>
      </c>
      <c r="C397" s="32" t="s">
        <v>811</v>
      </c>
      <c r="D397" s="32" t="s">
        <v>211</v>
      </c>
      <c r="E397" s="33" t="n">
        <v>8430942366643</v>
      </c>
      <c r="F397" s="33" t="n">
        <v>3</v>
      </c>
      <c r="G397" s="34" t="n">
        <v>75.26</v>
      </c>
      <c r="H397" s="33" t="n">
        <v>69</v>
      </c>
      <c r="I397" s="34" t="n">
        <f aca="false">G397*((100-H397)/100)</f>
        <v>23.3306</v>
      </c>
      <c r="J397" s="35"/>
      <c r="K397" s="36" t="n">
        <f aca="false">+F397*J397</f>
        <v>0</v>
      </c>
      <c r="L397" s="37" t="n">
        <f aca="false">I397*K397</f>
        <v>0</v>
      </c>
    </row>
    <row r="398" customFormat="false" ht="15" hidden="false" customHeight="false" outlineLevel="0" collapsed="false">
      <c r="A398" s="34" t="s">
        <v>812</v>
      </c>
      <c r="B398" s="32" t="s">
        <v>23</v>
      </c>
      <c r="C398" s="32" t="s">
        <v>813</v>
      </c>
      <c r="D398" s="32" t="s">
        <v>211</v>
      </c>
      <c r="E398" s="33" t="n">
        <v>8430942366650</v>
      </c>
      <c r="F398" s="33" t="n">
        <v>3</v>
      </c>
      <c r="G398" s="34" t="n">
        <v>90.8</v>
      </c>
      <c r="H398" s="33" t="n">
        <v>69</v>
      </c>
      <c r="I398" s="34" t="n">
        <f aca="false">G398*((100-H398)/100)</f>
        <v>28.148</v>
      </c>
      <c r="J398" s="35"/>
      <c r="K398" s="36" t="n">
        <f aca="false">+F398*J398</f>
        <v>0</v>
      </c>
      <c r="L398" s="37" t="n">
        <f aca="false">I398*K398</f>
        <v>0</v>
      </c>
    </row>
    <row r="399" customFormat="false" ht="15" hidden="false" customHeight="false" outlineLevel="0" collapsed="false">
      <c r="A399" s="34" t="s">
        <v>814</v>
      </c>
      <c r="B399" s="32" t="s">
        <v>23</v>
      </c>
      <c r="C399" s="32" t="s">
        <v>815</v>
      </c>
      <c r="D399" s="32" t="s">
        <v>211</v>
      </c>
      <c r="E399" s="33" t="n">
        <v>8430942049089</v>
      </c>
      <c r="F399" s="33" t="n">
        <v>3</v>
      </c>
      <c r="G399" s="34" t="n">
        <v>95.88</v>
      </c>
      <c r="H399" s="33" t="n">
        <v>69</v>
      </c>
      <c r="I399" s="34" t="n">
        <f aca="false">G399*((100-H399)/100)</f>
        <v>29.7228</v>
      </c>
      <c r="J399" s="35"/>
      <c r="K399" s="36" t="n">
        <f aca="false">+F399*J399</f>
        <v>0</v>
      </c>
      <c r="L399" s="37" t="n">
        <f aca="false">I399*K399</f>
        <v>0</v>
      </c>
    </row>
    <row r="400" customFormat="false" ht="15" hidden="false" customHeight="false" outlineLevel="0" collapsed="false">
      <c r="A400" s="34" t="s">
        <v>816</v>
      </c>
      <c r="B400" s="32" t="s">
        <v>23</v>
      </c>
      <c r="C400" s="32" t="s">
        <v>817</v>
      </c>
      <c r="D400" s="32" t="s">
        <v>224</v>
      </c>
      <c r="E400" s="33" t="n">
        <v>8430942041038</v>
      </c>
      <c r="F400" s="33" t="n">
        <v>1</v>
      </c>
      <c r="G400" s="34" t="n">
        <v>21.65</v>
      </c>
      <c r="H400" s="33" t="n">
        <v>69</v>
      </c>
      <c r="I400" s="34" t="n">
        <f aca="false">G400*((100-H400)/100)</f>
        <v>6.7115</v>
      </c>
      <c r="J400" s="35"/>
      <c r="K400" s="36" t="n">
        <f aca="false">+F400*J400</f>
        <v>0</v>
      </c>
      <c r="L400" s="37" t="n">
        <f aca="false">I400*K400</f>
        <v>0</v>
      </c>
    </row>
    <row r="401" customFormat="false" ht="15" hidden="false" customHeight="false" outlineLevel="0" collapsed="false">
      <c r="A401" s="34" t="s">
        <v>818</v>
      </c>
      <c r="B401" s="32" t="s">
        <v>23</v>
      </c>
      <c r="C401" s="32" t="s">
        <v>819</v>
      </c>
      <c r="D401" s="32" t="s">
        <v>224</v>
      </c>
      <c r="E401" s="33" t="n">
        <v>8430942039646</v>
      </c>
      <c r="F401" s="33" t="n">
        <v>1</v>
      </c>
      <c r="G401" s="34" t="n">
        <v>28.85</v>
      </c>
      <c r="H401" s="33" t="n">
        <v>69</v>
      </c>
      <c r="I401" s="34" t="n">
        <f aca="false">G401*((100-H401)/100)</f>
        <v>8.9435</v>
      </c>
      <c r="J401" s="35"/>
      <c r="K401" s="36" t="n">
        <f aca="false">+F401*J401</f>
        <v>0</v>
      </c>
      <c r="L401" s="37" t="n">
        <f aca="false">I401*K401</f>
        <v>0</v>
      </c>
    </row>
    <row r="402" customFormat="false" ht="15" hidden="false" customHeight="false" outlineLevel="0" collapsed="false">
      <c r="A402" s="34" t="s">
        <v>820</v>
      </c>
      <c r="B402" s="32" t="s">
        <v>23</v>
      </c>
      <c r="C402" s="32" t="s">
        <v>821</v>
      </c>
      <c r="D402" s="32" t="s">
        <v>253</v>
      </c>
      <c r="E402" s="33" t="n">
        <v>8430942045593</v>
      </c>
      <c r="F402" s="33" t="n">
        <v>8</v>
      </c>
      <c r="G402" s="34" t="n">
        <v>18.32</v>
      </c>
      <c r="H402" s="33" t="n">
        <v>69</v>
      </c>
      <c r="I402" s="34" t="n">
        <f aca="false">G402*((100-H402)/100)</f>
        <v>5.6792</v>
      </c>
      <c r="J402" s="35"/>
      <c r="K402" s="36" t="n">
        <f aca="false">+F402*J402</f>
        <v>0</v>
      </c>
      <c r="L402" s="37" t="n">
        <f aca="false">I402*K402</f>
        <v>0</v>
      </c>
    </row>
    <row r="403" customFormat="false" ht="15" hidden="false" customHeight="false" outlineLevel="0" collapsed="false">
      <c r="A403" s="34" t="s">
        <v>822</v>
      </c>
      <c r="B403" s="32" t="s">
        <v>23</v>
      </c>
      <c r="C403" s="32" t="s">
        <v>823</v>
      </c>
      <c r="D403" s="32" t="s">
        <v>253</v>
      </c>
      <c r="E403" s="33" t="n">
        <v>8430942039707</v>
      </c>
      <c r="F403" s="33" t="n">
        <v>4</v>
      </c>
      <c r="G403" s="34" t="n">
        <v>19.96</v>
      </c>
      <c r="H403" s="33" t="n">
        <v>69</v>
      </c>
      <c r="I403" s="34" t="n">
        <f aca="false">G403*((100-H403)/100)</f>
        <v>6.1876</v>
      </c>
      <c r="J403" s="35"/>
      <c r="K403" s="36" t="n">
        <f aca="false">+F403*J403</f>
        <v>0</v>
      </c>
      <c r="L403" s="37" t="n">
        <f aca="false">I403*K403</f>
        <v>0</v>
      </c>
    </row>
    <row r="404" customFormat="false" ht="15" hidden="false" customHeight="false" outlineLevel="0" collapsed="false">
      <c r="A404" s="34" t="s">
        <v>824</v>
      </c>
      <c r="B404" s="32" t="s">
        <v>23</v>
      </c>
      <c r="C404" s="32" t="s">
        <v>825</v>
      </c>
      <c r="D404" s="32" t="s">
        <v>253</v>
      </c>
      <c r="E404" s="33" t="n">
        <v>8430942312725</v>
      </c>
      <c r="F404" s="33" t="n">
        <v>8</v>
      </c>
      <c r="G404" s="34" t="n">
        <v>27.18</v>
      </c>
      <c r="H404" s="33" t="n">
        <v>69</v>
      </c>
      <c r="I404" s="34" t="n">
        <f aca="false">G404*((100-H404)/100)</f>
        <v>8.4258</v>
      </c>
      <c r="J404" s="35"/>
      <c r="K404" s="36" t="n">
        <f aca="false">+F404*J404</f>
        <v>0</v>
      </c>
      <c r="L404" s="37" t="n">
        <f aca="false">I404*K404</f>
        <v>0</v>
      </c>
    </row>
    <row r="405" customFormat="false" ht="15" hidden="false" customHeight="false" outlineLevel="0" collapsed="false">
      <c r="A405" s="34" t="s">
        <v>826</v>
      </c>
      <c r="B405" s="32" t="s">
        <v>23</v>
      </c>
      <c r="C405" s="32" t="s">
        <v>827</v>
      </c>
      <c r="D405" s="32" t="s">
        <v>253</v>
      </c>
      <c r="E405" s="33" t="n">
        <v>8430942040079</v>
      </c>
      <c r="F405" s="33" t="n">
        <v>4</v>
      </c>
      <c r="G405" s="34" t="n">
        <v>29.22</v>
      </c>
      <c r="H405" s="33" t="n">
        <v>69</v>
      </c>
      <c r="I405" s="34" t="n">
        <f aca="false">G405*((100-H405)/100)</f>
        <v>9.0582</v>
      </c>
      <c r="J405" s="35"/>
      <c r="K405" s="36" t="n">
        <f aca="false">+F405*J405</f>
        <v>0</v>
      </c>
      <c r="L405" s="37" t="n">
        <f aca="false">I405*K405</f>
        <v>0</v>
      </c>
    </row>
    <row r="406" customFormat="false" ht="15" hidden="false" customHeight="false" outlineLevel="0" collapsed="false">
      <c r="A406" s="34" t="s">
        <v>828</v>
      </c>
      <c r="B406" s="32" t="s">
        <v>23</v>
      </c>
      <c r="C406" s="32" t="s">
        <v>829</v>
      </c>
      <c r="D406" s="32" t="s">
        <v>113</v>
      </c>
      <c r="E406" s="33" t="n">
        <v>8430942354114</v>
      </c>
      <c r="F406" s="33" t="n">
        <v>4</v>
      </c>
      <c r="G406" s="34" t="n">
        <v>76.59</v>
      </c>
      <c r="H406" s="33" t="n">
        <v>69</v>
      </c>
      <c r="I406" s="34" t="n">
        <f aca="false">G406*((100-H406)/100)</f>
        <v>23.7429</v>
      </c>
      <c r="J406" s="35"/>
      <c r="K406" s="36" t="n">
        <f aca="false">+F406*J406</f>
        <v>0</v>
      </c>
      <c r="L406" s="37" t="n">
        <f aca="false">I406*K406</f>
        <v>0</v>
      </c>
    </row>
    <row r="407" customFormat="false" ht="15" hidden="false" customHeight="false" outlineLevel="0" collapsed="false">
      <c r="A407" s="34" t="s">
        <v>830</v>
      </c>
      <c r="B407" s="32" t="s">
        <v>23</v>
      </c>
      <c r="C407" s="32" t="s">
        <v>831</v>
      </c>
      <c r="D407" s="32" t="s">
        <v>278</v>
      </c>
      <c r="E407" s="33" t="n">
        <v>8430942331566</v>
      </c>
      <c r="F407" s="33" t="n">
        <v>10</v>
      </c>
      <c r="G407" s="34" t="n">
        <v>36.31</v>
      </c>
      <c r="H407" s="33" t="n">
        <v>69</v>
      </c>
      <c r="I407" s="34" t="n">
        <f aca="false">G407*((100-H407)/100)</f>
        <v>11.2561</v>
      </c>
      <c r="J407" s="35"/>
      <c r="K407" s="36" t="n">
        <f aca="false">+F407*J407</f>
        <v>0</v>
      </c>
      <c r="L407" s="37" t="n">
        <f aca="false">I407*K407</f>
        <v>0</v>
      </c>
    </row>
    <row r="408" customFormat="false" ht="15" hidden="false" customHeight="false" outlineLevel="0" collapsed="false">
      <c r="A408" s="34" t="s">
        <v>832</v>
      </c>
      <c r="B408" s="32" t="s">
        <v>23</v>
      </c>
      <c r="C408" s="32" t="s">
        <v>833</v>
      </c>
      <c r="D408" s="32" t="s">
        <v>278</v>
      </c>
      <c r="E408" s="33" t="n">
        <v>8430942331573</v>
      </c>
      <c r="F408" s="33" t="n">
        <v>10</v>
      </c>
      <c r="G408" s="34" t="n">
        <v>36.97</v>
      </c>
      <c r="H408" s="33" t="n">
        <v>69</v>
      </c>
      <c r="I408" s="34" t="n">
        <f aca="false">G408*((100-H408)/100)</f>
        <v>11.4607</v>
      </c>
      <c r="J408" s="35"/>
      <c r="K408" s="36" t="n">
        <f aca="false">+F408*J408</f>
        <v>0</v>
      </c>
      <c r="L408" s="37" t="n">
        <f aca="false">I408*K408</f>
        <v>0</v>
      </c>
    </row>
    <row r="409" customFormat="false" ht="15" hidden="false" customHeight="false" outlineLevel="0" collapsed="false">
      <c r="A409" s="34" t="s">
        <v>834</v>
      </c>
      <c r="B409" s="32" t="s">
        <v>23</v>
      </c>
      <c r="C409" s="32" t="s">
        <v>835</v>
      </c>
      <c r="D409" s="32" t="s">
        <v>731</v>
      </c>
      <c r="E409" s="33" t="n">
        <v>8430942332280</v>
      </c>
      <c r="F409" s="33" t="n">
        <v>10</v>
      </c>
      <c r="G409" s="34" t="n">
        <v>19.02</v>
      </c>
      <c r="H409" s="33" t="n">
        <v>69</v>
      </c>
      <c r="I409" s="34" t="n">
        <f aca="false">G409*((100-H409)/100)</f>
        <v>5.8962</v>
      </c>
      <c r="J409" s="35"/>
      <c r="K409" s="36" t="n">
        <f aca="false">+F409*J409</f>
        <v>0</v>
      </c>
      <c r="L409" s="37" t="n">
        <f aca="false">I409*K409</f>
        <v>0</v>
      </c>
    </row>
    <row r="410" customFormat="false" ht="15" hidden="false" customHeight="false" outlineLevel="0" collapsed="false">
      <c r="A410" s="34" t="s">
        <v>836</v>
      </c>
      <c r="B410" s="32" t="s">
        <v>23</v>
      </c>
      <c r="C410" s="32" t="s">
        <v>837</v>
      </c>
      <c r="D410" s="32" t="s">
        <v>731</v>
      </c>
      <c r="E410" s="33" t="n">
        <v>8430942332297</v>
      </c>
      <c r="F410" s="33" t="n">
        <v>10</v>
      </c>
      <c r="G410" s="34" t="n">
        <v>20.02</v>
      </c>
      <c r="H410" s="33" t="n">
        <v>69</v>
      </c>
      <c r="I410" s="34" t="n">
        <f aca="false">G410*((100-H410)/100)</f>
        <v>6.2062</v>
      </c>
      <c r="J410" s="35"/>
      <c r="K410" s="36" t="n">
        <f aca="false">+F410*J410</f>
        <v>0</v>
      </c>
      <c r="L410" s="37" t="n">
        <f aca="false">I410*K410</f>
        <v>0</v>
      </c>
    </row>
    <row r="411" customFormat="false" ht="15" hidden="false" customHeight="false" outlineLevel="0" collapsed="false">
      <c r="A411" s="34" t="s">
        <v>838</v>
      </c>
      <c r="B411" s="32" t="s">
        <v>23</v>
      </c>
      <c r="C411" s="32" t="s">
        <v>839</v>
      </c>
      <c r="D411" s="32" t="s">
        <v>240</v>
      </c>
      <c r="E411" s="33" t="n">
        <v>8430942326234</v>
      </c>
      <c r="F411" s="33" t="n">
        <v>1</v>
      </c>
      <c r="G411" s="34" t="n">
        <v>22.23</v>
      </c>
      <c r="H411" s="33" t="n">
        <v>69</v>
      </c>
      <c r="I411" s="34" t="n">
        <f aca="false">G411*((100-H411)/100)</f>
        <v>6.8913</v>
      </c>
      <c r="J411" s="35"/>
      <c r="K411" s="36" t="n">
        <f aca="false">+F411*J411</f>
        <v>0</v>
      </c>
      <c r="L411" s="37" t="n">
        <f aca="false">I411*K411</f>
        <v>0</v>
      </c>
    </row>
    <row r="412" customFormat="false" ht="15" hidden="false" customHeight="false" outlineLevel="0" collapsed="false">
      <c r="A412" s="34" t="s">
        <v>840</v>
      </c>
      <c r="B412" s="32" t="s">
        <v>23</v>
      </c>
      <c r="C412" s="32" t="s">
        <v>841</v>
      </c>
      <c r="D412" s="32" t="s">
        <v>240</v>
      </c>
      <c r="E412" s="33" t="n">
        <v>8430942326241</v>
      </c>
      <c r="F412" s="33" t="n">
        <v>1</v>
      </c>
      <c r="G412" s="34" t="n">
        <v>20.78</v>
      </c>
      <c r="H412" s="33" t="n">
        <v>69</v>
      </c>
      <c r="I412" s="34" t="n">
        <f aca="false">G412*((100-H412)/100)</f>
        <v>6.4418</v>
      </c>
      <c r="J412" s="35"/>
      <c r="K412" s="36" t="n">
        <f aca="false">+F412*J412</f>
        <v>0</v>
      </c>
      <c r="L412" s="37" t="n">
        <f aca="false">I412*K412</f>
        <v>0</v>
      </c>
    </row>
    <row r="413" customFormat="false" ht="15" hidden="false" customHeight="false" outlineLevel="0" collapsed="false">
      <c r="A413" s="34" t="s">
        <v>842</v>
      </c>
      <c r="B413" s="32" t="s">
        <v>23</v>
      </c>
      <c r="C413" s="32" t="s">
        <v>843</v>
      </c>
      <c r="D413" s="32" t="s">
        <v>588</v>
      </c>
      <c r="E413" s="33" t="n">
        <v>8430942326135</v>
      </c>
      <c r="F413" s="33" t="n">
        <v>1</v>
      </c>
      <c r="G413" s="34" t="n">
        <v>12.24</v>
      </c>
      <c r="H413" s="33" t="n">
        <v>69</v>
      </c>
      <c r="I413" s="34" t="n">
        <f aca="false">G413*((100-H413)/100)</f>
        <v>3.7944</v>
      </c>
      <c r="J413" s="35"/>
      <c r="K413" s="36" t="n">
        <f aca="false">+F413*J413</f>
        <v>0</v>
      </c>
      <c r="L413" s="37" t="n">
        <f aca="false">I413*K413</f>
        <v>0</v>
      </c>
    </row>
    <row r="414" customFormat="false" ht="15" hidden="false" customHeight="false" outlineLevel="0" collapsed="false">
      <c r="A414" s="34" t="s">
        <v>844</v>
      </c>
      <c r="B414" s="32" t="s">
        <v>23</v>
      </c>
      <c r="C414" s="32" t="s">
        <v>845</v>
      </c>
      <c r="D414" s="32" t="s">
        <v>588</v>
      </c>
      <c r="E414" s="33" t="n">
        <v>8430942326142</v>
      </c>
      <c r="F414" s="33" t="n">
        <v>1</v>
      </c>
      <c r="G414" s="34" t="n">
        <v>12.86</v>
      </c>
      <c r="H414" s="33" t="n">
        <v>69</v>
      </c>
      <c r="I414" s="34" t="n">
        <f aca="false">G414*((100-H414)/100)</f>
        <v>3.9866</v>
      </c>
      <c r="J414" s="35"/>
      <c r="K414" s="36" t="n">
        <f aca="false">+F414*J414</f>
        <v>0</v>
      </c>
      <c r="L414" s="37" t="n">
        <f aca="false">I414*K414</f>
        <v>0</v>
      </c>
    </row>
    <row r="415" customFormat="false" ht="15" hidden="false" customHeight="false" outlineLevel="0" collapsed="false">
      <c r="A415" s="34" t="s">
        <v>846</v>
      </c>
      <c r="B415" s="32" t="s">
        <v>23</v>
      </c>
      <c r="C415" s="32" t="s">
        <v>847</v>
      </c>
      <c r="D415" s="32" t="s">
        <v>848</v>
      </c>
      <c r="E415" s="33" t="n">
        <v>8430942326357</v>
      </c>
      <c r="F415" s="33" t="n">
        <v>1</v>
      </c>
      <c r="G415" s="34" t="n">
        <v>9.59</v>
      </c>
      <c r="H415" s="33" t="n">
        <v>69</v>
      </c>
      <c r="I415" s="34" t="n">
        <f aca="false">G415*((100-H415)/100)</f>
        <v>2.9729</v>
      </c>
      <c r="J415" s="35"/>
      <c r="K415" s="36" t="n">
        <f aca="false">+F415*J415</f>
        <v>0</v>
      </c>
      <c r="L415" s="37" t="n">
        <f aca="false">I415*K415</f>
        <v>0</v>
      </c>
    </row>
    <row r="416" customFormat="false" ht="15" hidden="false" customHeight="false" outlineLevel="0" collapsed="false">
      <c r="A416" s="34" t="s">
        <v>849</v>
      </c>
      <c r="B416" s="32" t="s">
        <v>23</v>
      </c>
      <c r="C416" s="32" t="s">
        <v>850</v>
      </c>
      <c r="D416" s="32" t="s">
        <v>848</v>
      </c>
      <c r="E416" s="33" t="n">
        <v>8430942326364</v>
      </c>
      <c r="F416" s="33" t="n">
        <v>1</v>
      </c>
      <c r="G416" s="34" t="n">
        <v>9.59</v>
      </c>
      <c r="H416" s="33" t="n">
        <v>69</v>
      </c>
      <c r="I416" s="34" t="n">
        <f aca="false">G416*((100-H416)/100)</f>
        <v>2.9729</v>
      </c>
      <c r="J416" s="35"/>
      <c r="K416" s="36" t="n">
        <f aca="false">+F416*J416</f>
        <v>0</v>
      </c>
      <c r="L416" s="37" t="n">
        <f aca="false">I416*K416</f>
        <v>0</v>
      </c>
    </row>
    <row r="417" customFormat="false" ht="15" hidden="false" customHeight="false" outlineLevel="0" collapsed="false">
      <c r="A417" s="34" t="s">
        <v>851</v>
      </c>
      <c r="B417" s="32" t="s">
        <v>23</v>
      </c>
      <c r="C417" s="32" t="s">
        <v>852</v>
      </c>
      <c r="D417" s="32" t="s">
        <v>291</v>
      </c>
      <c r="E417" s="33" t="n">
        <v>8430942311421</v>
      </c>
      <c r="F417" s="33" t="n">
        <v>1</v>
      </c>
      <c r="G417" s="34" t="n">
        <v>51.85</v>
      </c>
      <c r="H417" s="33" t="n">
        <v>69</v>
      </c>
      <c r="I417" s="34" t="n">
        <f aca="false">G417*((100-H417)/100)</f>
        <v>16.0735</v>
      </c>
      <c r="J417" s="35"/>
      <c r="K417" s="36" t="n">
        <f aca="false">+F417*J417</f>
        <v>0</v>
      </c>
      <c r="L417" s="37" t="n">
        <f aca="false">I417*K417</f>
        <v>0</v>
      </c>
    </row>
    <row r="418" customFormat="false" ht="15" hidden="false" customHeight="false" outlineLevel="0" collapsed="false">
      <c r="A418" s="34" t="s">
        <v>853</v>
      </c>
      <c r="B418" s="32" t="s">
        <v>23</v>
      </c>
      <c r="C418" s="32" t="s">
        <v>854</v>
      </c>
      <c r="D418" s="32" t="s">
        <v>291</v>
      </c>
      <c r="E418" s="33" t="n">
        <v>8430942021498</v>
      </c>
      <c r="F418" s="33" t="n">
        <v>1</v>
      </c>
      <c r="G418" s="34" t="n">
        <v>53.77</v>
      </c>
      <c r="H418" s="33" t="n">
        <v>69</v>
      </c>
      <c r="I418" s="34" t="n">
        <f aca="false">G418*((100-H418)/100)</f>
        <v>16.6687</v>
      </c>
      <c r="J418" s="35"/>
      <c r="K418" s="36" t="n">
        <f aca="false">+F418*J418</f>
        <v>0</v>
      </c>
      <c r="L418" s="37" t="n">
        <f aca="false">I418*K418</f>
        <v>0</v>
      </c>
    </row>
    <row r="419" customFormat="false" ht="15" hidden="false" customHeight="false" outlineLevel="0" collapsed="false">
      <c r="A419" s="34" t="s">
        <v>855</v>
      </c>
      <c r="B419" s="32" t="s">
        <v>23</v>
      </c>
      <c r="C419" s="32" t="s">
        <v>856</v>
      </c>
      <c r="D419" s="32" t="s">
        <v>304</v>
      </c>
      <c r="E419" s="33" t="n">
        <v>8430942311438</v>
      </c>
      <c r="F419" s="33" t="n">
        <v>1</v>
      </c>
      <c r="G419" s="34" t="n">
        <v>77.79</v>
      </c>
      <c r="H419" s="33" t="n">
        <v>69</v>
      </c>
      <c r="I419" s="34" t="n">
        <f aca="false">G419*((100-H419)/100)</f>
        <v>24.1149</v>
      </c>
      <c r="J419" s="35"/>
      <c r="K419" s="36" t="n">
        <f aca="false">+F419*J419</f>
        <v>0</v>
      </c>
      <c r="L419" s="37" t="n">
        <f aca="false">I419*K419</f>
        <v>0</v>
      </c>
    </row>
    <row r="420" customFormat="false" ht="15" hidden="false" customHeight="false" outlineLevel="0" collapsed="false">
      <c r="A420" s="34" t="s">
        <v>857</v>
      </c>
      <c r="B420" s="32" t="s">
        <v>23</v>
      </c>
      <c r="C420" s="32" t="s">
        <v>858</v>
      </c>
      <c r="D420" s="32" t="s">
        <v>304</v>
      </c>
      <c r="E420" s="33" t="n">
        <v>8430942021344</v>
      </c>
      <c r="F420" s="33" t="n">
        <v>1</v>
      </c>
      <c r="G420" s="34" t="n">
        <v>79.23</v>
      </c>
      <c r="H420" s="33" t="n">
        <v>69</v>
      </c>
      <c r="I420" s="34" t="n">
        <f aca="false">G420*((100-H420)/100)</f>
        <v>24.5613</v>
      </c>
      <c r="J420" s="35"/>
      <c r="K420" s="36" t="n">
        <f aca="false">+F420*J420</f>
        <v>0</v>
      </c>
      <c r="L420" s="37" t="n">
        <f aca="false">I420*K420</f>
        <v>0</v>
      </c>
    </row>
    <row r="421" customFormat="false" ht="15" hidden="false" customHeight="false" outlineLevel="0" collapsed="false">
      <c r="A421" s="34" t="s">
        <v>859</v>
      </c>
      <c r="B421" s="32" t="s">
        <v>23</v>
      </c>
      <c r="C421" s="32" t="s">
        <v>860</v>
      </c>
      <c r="D421" s="32" t="s">
        <v>771</v>
      </c>
      <c r="E421" s="33" t="n">
        <v>8430942331665</v>
      </c>
      <c r="F421" s="33" t="n">
        <v>1</v>
      </c>
      <c r="G421" s="34" t="n">
        <v>69.07</v>
      </c>
      <c r="H421" s="33" t="n">
        <v>69</v>
      </c>
      <c r="I421" s="34" t="n">
        <f aca="false">G421*((100-H421)/100)</f>
        <v>21.4117</v>
      </c>
      <c r="J421" s="35"/>
      <c r="K421" s="36" t="n">
        <f aca="false">+F421*J421</f>
        <v>0</v>
      </c>
      <c r="L421" s="37" t="n">
        <f aca="false">I421*K421</f>
        <v>0</v>
      </c>
    </row>
    <row r="422" customFormat="false" ht="15" hidden="false" customHeight="false" outlineLevel="0" collapsed="false">
      <c r="A422" s="34" t="s">
        <v>861</v>
      </c>
      <c r="B422" s="32" t="s">
        <v>23</v>
      </c>
      <c r="C422" s="32" t="s">
        <v>862</v>
      </c>
      <c r="D422" s="32" t="s">
        <v>771</v>
      </c>
      <c r="E422" s="33" t="n">
        <v>8430942331672</v>
      </c>
      <c r="F422" s="33" t="n">
        <v>1</v>
      </c>
      <c r="G422" s="34" t="n">
        <v>74.84</v>
      </c>
      <c r="H422" s="33" t="n">
        <v>69</v>
      </c>
      <c r="I422" s="34" t="n">
        <f aca="false">G422*((100-H422)/100)</f>
        <v>23.2004</v>
      </c>
      <c r="J422" s="35"/>
      <c r="K422" s="36" t="n">
        <f aca="false">+F422*J422</f>
        <v>0</v>
      </c>
      <c r="L422" s="37" t="n">
        <f aca="false">I422*K422</f>
        <v>0</v>
      </c>
    </row>
    <row r="423" customFormat="false" ht="15" hidden="false" customHeight="false" outlineLevel="0" collapsed="false">
      <c r="A423" s="34" t="s">
        <v>863</v>
      </c>
      <c r="B423" s="32" t="s">
        <v>23</v>
      </c>
      <c r="C423" s="32" t="s">
        <v>864</v>
      </c>
      <c r="D423" s="32" t="s">
        <v>771</v>
      </c>
      <c r="E423" s="33" t="n">
        <v>8430942331641</v>
      </c>
      <c r="F423" s="33" t="n">
        <v>1</v>
      </c>
      <c r="G423" s="34" t="n">
        <v>50.73</v>
      </c>
      <c r="H423" s="33" t="n">
        <v>69</v>
      </c>
      <c r="I423" s="34" t="n">
        <f aca="false">G423*((100-H423)/100)</f>
        <v>15.7263</v>
      </c>
      <c r="J423" s="35"/>
      <c r="K423" s="36" t="n">
        <f aca="false">+F423*J423</f>
        <v>0</v>
      </c>
      <c r="L423" s="37" t="n">
        <f aca="false">I423*K423</f>
        <v>0</v>
      </c>
    </row>
    <row r="424" customFormat="false" ht="15" hidden="false" customHeight="false" outlineLevel="0" collapsed="false">
      <c r="A424" s="34" t="s">
        <v>865</v>
      </c>
      <c r="B424" s="32" t="s">
        <v>23</v>
      </c>
      <c r="C424" s="32" t="s">
        <v>866</v>
      </c>
      <c r="D424" s="32" t="s">
        <v>771</v>
      </c>
      <c r="E424" s="33" t="n">
        <v>8430942331658</v>
      </c>
      <c r="F424" s="33" t="n">
        <v>1</v>
      </c>
      <c r="G424" s="34" t="n">
        <v>56.99</v>
      </c>
      <c r="H424" s="33" t="n">
        <v>69</v>
      </c>
      <c r="I424" s="34" t="n">
        <f aca="false">G424*((100-H424)/100)</f>
        <v>17.6669</v>
      </c>
      <c r="J424" s="35"/>
      <c r="K424" s="36" t="n">
        <f aca="false">+F424*J424</f>
        <v>0</v>
      </c>
      <c r="L424" s="37" t="n">
        <f aca="false">I424*K424</f>
        <v>0</v>
      </c>
    </row>
    <row r="425" customFormat="false" ht="15" hidden="false" customHeight="false" outlineLevel="0" collapsed="false">
      <c r="A425" s="34" t="s">
        <v>740</v>
      </c>
      <c r="B425" s="32" t="s">
        <v>23</v>
      </c>
      <c r="C425" s="32" t="s">
        <v>741</v>
      </c>
      <c r="D425" s="32" t="s">
        <v>731</v>
      </c>
      <c r="E425" s="33" t="n">
        <v>8430942331894</v>
      </c>
      <c r="F425" s="33" t="n">
        <v>1</v>
      </c>
      <c r="G425" s="34" t="n">
        <v>2.56</v>
      </c>
      <c r="H425" s="33" t="n">
        <v>69</v>
      </c>
      <c r="I425" s="34" t="n">
        <f aca="false">G425*((100-H425)/100)</f>
        <v>0.7936</v>
      </c>
      <c r="J425" s="35"/>
      <c r="K425" s="36" t="n">
        <f aca="false">+F425*J425</f>
        <v>0</v>
      </c>
      <c r="L425" s="37" t="n">
        <f aca="false">I425*K425</f>
        <v>0</v>
      </c>
    </row>
    <row r="426" customFormat="false" ht="15" hidden="false" customHeight="false" outlineLevel="0" collapsed="false">
      <c r="A426" s="34" t="s">
        <v>742</v>
      </c>
      <c r="B426" s="32" t="s">
        <v>23</v>
      </c>
      <c r="C426" s="32" t="s">
        <v>743</v>
      </c>
      <c r="D426" s="32" t="s">
        <v>731</v>
      </c>
      <c r="E426" s="33" t="n">
        <v>8430942331900</v>
      </c>
      <c r="F426" s="33" t="n">
        <v>1</v>
      </c>
      <c r="G426" s="34" t="n">
        <v>3.37</v>
      </c>
      <c r="H426" s="33" t="n">
        <v>69</v>
      </c>
      <c r="I426" s="34" t="n">
        <f aca="false">G426*((100-H426)/100)</f>
        <v>1.0447</v>
      </c>
      <c r="J426" s="35"/>
      <c r="K426" s="36" t="n">
        <f aca="false">+F426*J426</f>
        <v>0</v>
      </c>
      <c r="L426" s="37" t="n">
        <f aca="false">I426*K426</f>
        <v>0</v>
      </c>
    </row>
    <row r="427" customFormat="false" ht="15" hidden="false" customHeight="false" outlineLevel="0" collapsed="false">
      <c r="A427" s="34" t="s">
        <v>723</v>
      </c>
      <c r="B427" s="32" t="s">
        <v>23</v>
      </c>
      <c r="C427" s="32" t="s">
        <v>724</v>
      </c>
      <c r="D427" s="32" t="s">
        <v>237</v>
      </c>
      <c r="E427" s="33" t="n">
        <v>8430942354268</v>
      </c>
      <c r="F427" s="33" t="n">
        <v>1</v>
      </c>
      <c r="G427" s="34" t="n">
        <v>220.16</v>
      </c>
      <c r="H427" s="33" t="n">
        <v>69</v>
      </c>
      <c r="I427" s="34" t="n">
        <f aca="false">G427*((100-H427)/100)</f>
        <v>68.2496</v>
      </c>
      <c r="J427" s="35"/>
      <c r="K427" s="36" t="n">
        <f aca="false">+F427*J427</f>
        <v>0</v>
      </c>
      <c r="L427" s="37" t="n">
        <f aca="false">I427*K427</f>
        <v>0</v>
      </c>
    </row>
    <row r="428" customFormat="false" ht="15" hidden="false" customHeight="false" outlineLevel="0" collapsed="false">
      <c r="A428" s="34" t="s">
        <v>867</v>
      </c>
      <c r="B428" s="32" t="s">
        <v>23</v>
      </c>
      <c r="C428" s="32" t="s">
        <v>868</v>
      </c>
      <c r="D428" s="32" t="s">
        <v>211</v>
      </c>
      <c r="E428" s="33" t="n">
        <v>8430942352165</v>
      </c>
      <c r="F428" s="33" t="n">
        <v>1</v>
      </c>
      <c r="G428" s="34" t="n">
        <v>153.28</v>
      </c>
      <c r="H428" s="33" t="n">
        <v>69</v>
      </c>
      <c r="I428" s="34" t="n">
        <f aca="false">G428*((100-H428)/100)</f>
        <v>47.5168</v>
      </c>
      <c r="J428" s="35"/>
      <c r="K428" s="36" t="n">
        <f aca="false">+F428*J428</f>
        <v>0</v>
      </c>
      <c r="L428" s="37" t="n">
        <f aca="false">I428*K428</f>
        <v>0</v>
      </c>
    </row>
    <row r="429" customFormat="false" ht="15" hidden="false" customHeight="false" outlineLevel="0" collapsed="false">
      <c r="A429" s="34" t="s">
        <v>869</v>
      </c>
      <c r="B429" s="32" t="s">
        <v>23</v>
      </c>
      <c r="C429" s="32" t="s">
        <v>870</v>
      </c>
      <c r="D429" s="32" t="s">
        <v>871</v>
      </c>
      <c r="E429" s="33" t="n">
        <v>8430942352172</v>
      </c>
      <c r="F429" s="33" t="n">
        <v>1</v>
      </c>
      <c r="G429" s="34" t="n">
        <v>173.43</v>
      </c>
      <c r="H429" s="33" t="n">
        <v>69</v>
      </c>
      <c r="I429" s="34" t="n">
        <f aca="false">G429*((100-H429)/100)</f>
        <v>53.7633</v>
      </c>
      <c r="J429" s="35"/>
      <c r="K429" s="36" t="n">
        <f aca="false">+F429*J429</f>
        <v>0</v>
      </c>
      <c r="L429" s="37" t="n">
        <f aca="false">I429*K429</f>
        <v>0</v>
      </c>
    </row>
    <row r="430" customFormat="false" ht="15" hidden="false" customHeight="false" outlineLevel="0" collapsed="false">
      <c r="A430" s="34" t="s">
        <v>872</v>
      </c>
      <c r="B430" s="32" t="s">
        <v>23</v>
      </c>
      <c r="C430" s="32" t="s">
        <v>873</v>
      </c>
      <c r="D430" s="32" t="s">
        <v>871</v>
      </c>
      <c r="E430" s="33" t="n">
        <v>8430942027131</v>
      </c>
      <c r="F430" s="33" t="n">
        <v>1</v>
      </c>
      <c r="G430" s="34" t="n">
        <v>52.11</v>
      </c>
      <c r="H430" s="33" t="n">
        <v>69</v>
      </c>
      <c r="I430" s="34" t="n">
        <f aca="false">G430*((100-H430)/100)</f>
        <v>16.1541</v>
      </c>
      <c r="J430" s="35"/>
      <c r="K430" s="36" t="n">
        <f aca="false">+F430*J430</f>
        <v>0</v>
      </c>
      <c r="L430" s="37" t="n">
        <f aca="false">I430*K430</f>
        <v>0</v>
      </c>
    </row>
    <row r="431" customFormat="false" ht="15" hidden="false" customHeight="false" outlineLevel="0" collapsed="false">
      <c r="A431" s="34" t="s">
        <v>874</v>
      </c>
      <c r="B431" s="32" t="s">
        <v>23</v>
      </c>
      <c r="C431" s="32" t="s">
        <v>875</v>
      </c>
      <c r="D431" s="32" t="s">
        <v>871</v>
      </c>
      <c r="E431" s="33" t="n">
        <v>8430942027124</v>
      </c>
      <c r="F431" s="33" t="n">
        <v>1</v>
      </c>
      <c r="G431" s="34" t="n">
        <v>54.53</v>
      </c>
      <c r="H431" s="33" t="n">
        <v>69</v>
      </c>
      <c r="I431" s="34" t="n">
        <f aca="false">G431*((100-H431)/100)</f>
        <v>16.9043</v>
      </c>
      <c r="J431" s="35"/>
      <c r="K431" s="36" t="n">
        <f aca="false">+F431*J431</f>
        <v>0</v>
      </c>
      <c r="L431" s="37" t="n">
        <f aca="false">I431*K431</f>
        <v>0</v>
      </c>
    </row>
    <row r="432" customFormat="false" ht="15" hidden="false" customHeight="false" outlineLevel="0" collapsed="false">
      <c r="A432" s="34" t="s">
        <v>876</v>
      </c>
      <c r="B432" s="32" t="s">
        <v>23</v>
      </c>
      <c r="C432" s="32" t="s">
        <v>877</v>
      </c>
      <c r="D432" s="32" t="s">
        <v>878</v>
      </c>
      <c r="E432" s="33" t="n">
        <v>8430942012199</v>
      </c>
      <c r="F432" s="33" t="n">
        <v>1</v>
      </c>
      <c r="G432" s="34" t="n">
        <v>38.46</v>
      </c>
      <c r="H432" s="33" t="n">
        <v>69</v>
      </c>
      <c r="I432" s="34" t="n">
        <f aca="false">G432*((100-H432)/100)</f>
        <v>11.9226</v>
      </c>
      <c r="J432" s="35"/>
      <c r="K432" s="36" t="n">
        <f aca="false">+F432*J432</f>
        <v>0</v>
      </c>
      <c r="L432" s="37" t="n">
        <f aca="false">I432*K432</f>
        <v>0</v>
      </c>
    </row>
    <row r="433" customFormat="false" ht="15" hidden="false" customHeight="false" outlineLevel="0" collapsed="false">
      <c r="A433" s="34" t="s">
        <v>879</v>
      </c>
      <c r="B433" s="32" t="s">
        <v>23</v>
      </c>
      <c r="C433" s="32" t="s">
        <v>880</v>
      </c>
      <c r="D433" s="32" t="s">
        <v>878</v>
      </c>
      <c r="E433" s="33" t="n">
        <v>8430942012205</v>
      </c>
      <c r="F433" s="33" t="n">
        <v>1</v>
      </c>
      <c r="G433" s="34" t="n">
        <v>39.96</v>
      </c>
      <c r="H433" s="33" t="n">
        <v>69</v>
      </c>
      <c r="I433" s="34" t="n">
        <f aca="false">G433*((100-H433)/100)</f>
        <v>12.3876</v>
      </c>
      <c r="J433" s="35"/>
      <c r="K433" s="36" t="n">
        <f aca="false">+F433*J433</f>
        <v>0</v>
      </c>
      <c r="L433" s="37" t="n">
        <f aca="false">I433*K433</f>
        <v>0</v>
      </c>
    </row>
    <row r="434" customFormat="false" ht="15" hidden="false" customHeight="false" outlineLevel="0" collapsed="false">
      <c r="A434" s="34" t="s">
        <v>881</v>
      </c>
      <c r="B434" s="32" t="s">
        <v>23</v>
      </c>
      <c r="C434" s="32" t="s">
        <v>882</v>
      </c>
      <c r="D434" s="32" t="s">
        <v>883</v>
      </c>
      <c r="E434" s="33" t="n">
        <v>8430942353896</v>
      </c>
      <c r="F434" s="33" t="n">
        <v>1</v>
      </c>
      <c r="G434" s="34" t="n">
        <v>162.79</v>
      </c>
      <c r="H434" s="33" t="n">
        <v>69</v>
      </c>
      <c r="I434" s="34" t="n">
        <f aca="false">G434*((100-H434)/100)</f>
        <v>50.4649</v>
      </c>
      <c r="J434" s="35"/>
      <c r="K434" s="36" t="n">
        <f aca="false">+F434*J434</f>
        <v>0</v>
      </c>
      <c r="L434" s="37" t="n">
        <f aca="false">I434*K434</f>
        <v>0</v>
      </c>
    </row>
    <row r="435" customFormat="false" ht="15" hidden="false" customHeight="false" outlineLevel="0" collapsed="false">
      <c r="A435" s="34" t="s">
        <v>884</v>
      </c>
      <c r="B435" s="32" t="s">
        <v>23</v>
      </c>
      <c r="C435" s="32" t="s">
        <v>885</v>
      </c>
      <c r="D435" s="32" t="s">
        <v>883</v>
      </c>
      <c r="E435" s="33" t="n">
        <v>8430942353902</v>
      </c>
      <c r="F435" s="33" t="n">
        <v>1</v>
      </c>
      <c r="G435" s="34" t="n">
        <v>165.96</v>
      </c>
      <c r="H435" s="33" t="n">
        <v>69</v>
      </c>
      <c r="I435" s="34" t="n">
        <f aca="false">G435*((100-H435)/100)</f>
        <v>51.4476</v>
      </c>
      <c r="J435" s="35"/>
      <c r="K435" s="36" t="n">
        <f aca="false">+F435*J435</f>
        <v>0</v>
      </c>
      <c r="L435" s="37" t="n">
        <f aca="false">I435*K435</f>
        <v>0</v>
      </c>
    </row>
    <row r="436" customFormat="false" ht="15" hidden="false" customHeight="false" outlineLevel="0" collapsed="false">
      <c r="A436" s="34" t="s">
        <v>886</v>
      </c>
      <c r="B436" s="32" t="s">
        <v>23</v>
      </c>
      <c r="C436" s="32" t="s">
        <v>887</v>
      </c>
      <c r="D436" s="32" t="s">
        <v>883</v>
      </c>
      <c r="E436" s="33" t="n">
        <v>8430942353995</v>
      </c>
      <c r="F436" s="33" t="n">
        <v>1</v>
      </c>
      <c r="G436" s="34" t="n">
        <v>162.79</v>
      </c>
      <c r="H436" s="33" t="n">
        <v>69</v>
      </c>
      <c r="I436" s="34" t="n">
        <f aca="false">G436*((100-H436)/100)</f>
        <v>50.4649</v>
      </c>
      <c r="J436" s="35"/>
      <c r="K436" s="36" t="n">
        <f aca="false">+F436*J436</f>
        <v>0</v>
      </c>
      <c r="L436" s="37" t="n">
        <f aca="false">I436*K436</f>
        <v>0</v>
      </c>
    </row>
    <row r="437" customFormat="false" ht="15" hidden="false" customHeight="false" outlineLevel="0" collapsed="false">
      <c r="A437" s="34" t="s">
        <v>888</v>
      </c>
      <c r="B437" s="32" t="s">
        <v>23</v>
      </c>
      <c r="C437" s="32" t="s">
        <v>889</v>
      </c>
      <c r="D437" s="32" t="s">
        <v>883</v>
      </c>
      <c r="E437" s="33" t="n">
        <v>8430942354008</v>
      </c>
      <c r="F437" s="33" t="n">
        <v>1</v>
      </c>
      <c r="G437" s="34" t="n">
        <v>165.96</v>
      </c>
      <c r="H437" s="33" t="n">
        <v>69</v>
      </c>
      <c r="I437" s="34" t="n">
        <f aca="false">G437*((100-H437)/100)</f>
        <v>51.4476</v>
      </c>
      <c r="J437" s="35"/>
      <c r="K437" s="36" t="n">
        <f aca="false">+F437*J437</f>
        <v>0</v>
      </c>
      <c r="L437" s="37" t="n">
        <f aca="false">I437*K437</f>
        <v>0</v>
      </c>
    </row>
    <row r="438" customFormat="false" ht="15" hidden="false" customHeight="false" outlineLevel="0" collapsed="false">
      <c r="A438" s="32" t="s">
        <v>890</v>
      </c>
      <c r="B438" s="32" t="s">
        <v>23</v>
      </c>
      <c r="C438" s="32" t="s">
        <v>891</v>
      </c>
      <c r="D438" s="32" t="s">
        <v>25</v>
      </c>
      <c r="E438" s="33" t="n">
        <v>8430942008956</v>
      </c>
      <c r="F438" s="33" t="n">
        <v>6</v>
      </c>
      <c r="G438" s="34" t="n">
        <v>39.31</v>
      </c>
      <c r="H438" s="33" t="n">
        <v>69</v>
      </c>
      <c r="I438" s="45" t="n">
        <f aca="false">G438*((100-H438)/100)</f>
        <v>12.1861</v>
      </c>
      <c r="J438" s="35"/>
      <c r="K438" s="36" t="n">
        <f aca="false">+F438*J438</f>
        <v>0</v>
      </c>
      <c r="L438" s="37" t="n">
        <f aca="false">I438*K438</f>
        <v>0</v>
      </c>
    </row>
    <row r="439" customFormat="false" ht="15" hidden="false" customHeight="false" outlineLevel="0" collapsed="false">
      <c r="A439" s="32" t="s">
        <v>892</v>
      </c>
      <c r="B439" s="32" t="s">
        <v>23</v>
      </c>
      <c r="C439" s="32" t="s">
        <v>893</v>
      </c>
      <c r="D439" s="32" t="s">
        <v>25</v>
      </c>
      <c r="E439" s="33" t="n">
        <v>8430942009038</v>
      </c>
      <c r="F439" s="33" t="n">
        <v>6</v>
      </c>
      <c r="G439" s="34" t="n">
        <v>47.85</v>
      </c>
      <c r="H439" s="33" t="n">
        <v>69</v>
      </c>
      <c r="I439" s="45" t="n">
        <f aca="false">G439*((100-H439)/100)</f>
        <v>14.8335</v>
      </c>
      <c r="J439" s="35"/>
      <c r="K439" s="36" t="n">
        <f aca="false">+F439*J439</f>
        <v>0</v>
      </c>
      <c r="L439" s="37" t="n">
        <f aca="false">I439*K439</f>
        <v>0</v>
      </c>
    </row>
    <row r="440" customFormat="false" ht="15" hidden="false" customHeight="false" outlineLevel="0" collapsed="false">
      <c r="A440" s="32" t="s">
        <v>894</v>
      </c>
      <c r="B440" s="32" t="s">
        <v>23</v>
      </c>
      <c r="C440" s="32" t="s">
        <v>895</v>
      </c>
      <c r="D440" s="32" t="s">
        <v>25</v>
      </c>
      <c r="E440" s="33" t="n">
        <v>8430942009090</v>
      </c>
      <c r="F440" s="33" t="n">
        <v>4</v>
      </c>
      <c r="G440" s="34" t="n">
        <v>65.71</v>
      </c>
      <c r="H440" s="33" t="n">
        <v>69</v>
      </c>
      <c r="I440" s="45" t="n">
        <f aca="false">G440*((100-H440)/100)</f>
        <v>20.3701</v>
      </c>
      <c r="J440" s="35"/>
      <c r="K440" s="36" t="n">
        <f aca="false">+F440*J440</f>
        <v>0</v>
      </c>
      <c r="L440" s="37" t="n">
        <f aca="false">I440*K440</f>
        <v>0</v>
      </c>
    </row>
    <row r="441" customFormat="false" ht="15" hidden="false" customHeight="false" outlineLevel="0" collapsed="false">
      <c r="A441" s="32" t="s">
        <v>896</v>
      </c>
      <c r="B441" s="32" t="s">
        <v>23</v>
      </c>
      <c r="C441" s="32" t="s">
        <v>897</v>
      </c>
      <c r="D441" s="32" t="s">
        <v>25</v>
      </c>
      <c r="E441" s="33" t="n">
        <v>8430942033279</v>
      </c>
      <c r="F441" s="33" t="n">
        <v>6</v>
      </c>
      <c r="G441" s="34" t="n">
        <v>57.69</v>
      </c>
      <c r="H441" s="33" t="n">
        <v>69</v>
      </c>
      <c r="I441" s="45" t="n">
        <f aca="false">G441*((100-H441)/100)</f>
        <v>17.8839</v>
      </c>
      <c r="J441" s="35"/>
      <c r="K441" s="36" t="n">
        <f aca="false">+F441*J441</f>
        <v>0</v>
      </c>
      <c r="L441" s="37" t="n">
        <f aca="false">I441*K441</f>
        <v>0</v>
      </c>
    </row>
    <row r="442" customFormat="false" ht="15" hidden="false" customHeight="false" outlineLevel="0" collapsed="false">
      <c r="A442" s="32" t="s">
        <v>898</v>
      </c>
      <c r="B442" s="32" t="s">
        <v>23</v>
      </c>
      <c r="C442" s="32" t="s">
        <v>899</v>
      </c>
      <c r="D442" s="32" t="s">
        <v>25</v>
      </c>
      <c r="E442" s="33" t="n">
        <v>8430942046125</v>
      </c>
      <c r="F442" s="33" t="n">
        <v>6</v>
      </c>
      <c r="G442" s="34" t="n">
        <v>64.62</v>
      </c>
      <c r="H442" s="33" t="n">
        <v>69</v>
      </c>
      <c r="I442" s="45" t="n">
        <f aca="false">G442*((100-H442)/100)</f>
        <v>20.0322</v>
      </c>
      <c r="J442" s="35"/>
      <c r="K442" s="36" t="n">
        <f aca="false">+F442*J442</f>
        <v>0</v>
      </c>
      <c r="L442" s="37" t="n">
        <f aca="false">I442*K442</f>
        <v>0</v>
      </c>
    </row>
    <row r="443" customFormat="false" ht="15" hidden="false" customHeight="false" outlineLevel="0" collapsed="false">
      <c r="A443" s="32" t="s">
        <v>900</v>
      </c>
      <c r="B443" s="32" t="s">
        <v>23</v>
      </c>
      <c r="C443" s="32" t="s">
        <v>901</v>
      </c>
      <c r="D443" s="32" t="s">
        <v>25</v>
      </c>
      <c r="E443" s="33" t="n">
        <v>8430942046149</v>
      </c>
      <c r="F443" s="33" t="n">
        <v>4</v>
      </c>
      <c r="G443" s="34" t="n">
        <v>78.08</v>
      </c>
      <c r="H443" s="33" t="n">
        <v>69</v>
      </c>
      <c r="I443" s="45" t="n">
        <f aca="false">G443*((100-H443)/100)</f>
        <v>24.2048</v>
      </c>
      <c r="J443" s="35"/>
      <c r="K443" s="36" t="n">
        <f aca="false">+F443*J443</f>
        <v>0</v>
      </c>
      <c r="L443" s="37" t="n">
        <f aca="false">I443*K443</f>
        <v>0</v>
      </c>
    </row>
    <row r="444" customFormat="false" ht="15" hidden="false" customHeight="false" outlineLevel="0" collapsed="false">
      <c r="A444" s="32" t="s">
        <v>902</v>
      </c>
      <c r="B444" s="32" t="s">
        <v>23</v>
      </c>
      <c r="C444" s="32" t="s">
        <v>903</v>
      </c>
      <c r="D444" s="32" t="s">
        <v>25</v>
      </c>
      <c r="E444" s="33" t="n">
        <v>8430942046156</v>
      </c>
      <c r="F444" s="33" t="n">
        <v>4</v>
      </c>
      <c r="G444" s="34" t="n">
        <v>89.04</v>
      </c>
      <c r="H444" s="33" t="n">
        <v>69</v>
      </c>
      <c r="I444" s="45" t="n">
        <f aca="false">G444*((100-H444)/100)</f>
        <v>27.6024</v>
      </c>
      <c r="J444" s="35"/>
      <c r="K444" s="36" t="n">
        <f aca="false">+F444*J444</f>
        <v>0</v>
      </c>
      <c r="L444" s="37" t="n">
        <f aca="false">I444*K444</f>
        <v>0</v>
      </c>
    </row>
    <row r="445" customFormat="false" ht="15" hidden="false" customHeight="false" outlineLevel="0" collapsed="false">
      <c r="A445" s="32" t="s">
        <v>904</v>
      </c>
      <c r="B445" s="32" t="s">
        <v>23</v>
      </c>
      <c r="C445" s="32" t="s">
        <v>905</v>
      </c>
      <c r="D445" s="32" t="s">
        <v>25</v>
      </c>
      <c r="E445" s="33" t="n">
        <v>8430942046163</v>
      </c>
      <c r="F445" s="33" t="n">
        <v>2</v>
      </c>
      <c r="G445" s="34" t="n">
        <v>123.27</v>
      </c>
      <c r="H445" s="33" t="n">
        <v>69</v>
      </c>
      <c r="I445" s="45" t="n">
        <f aca="false">G445*((100-H445)/100)</f>
        <v>38.2137</v>
      </c>
      <c r="J445" s="35"/>
      <c r="K445" s="36" t="n">
        <f aca="false">+F445*J445</f>
        <v>0</v>
      </c>
      <c r="L445" s="37" t="n">
        <f aca="false">I445*K445</f>
        <v>0</v>
      </c>
    </row>
    <row r="446" customFormat="false" ht="15" hidden="false" customHeight="false" outlineLevel="0" collapsed="false">
      <c r="A446" s="32" t="s">
        <v>906</v>
      </c>
      <c r="B446" s="32" t="s">
        <v>23</v>
      </c>
      <c r="C446" s="32" t="s">
        <v>907</v>
      </c>
      <c r="D446" s="32" t="s">
        <v>25</v>
      </c>
      <c r="E446" s="33" t="n">
        <v>8430942046170</v>
      </c>
      <c r="F446" s="33" t="n">
        <v>1</v>
      </c>
      <c r="G446" s="34" t="n">
        <v>151.15</v>
      </c>
      <c r="H446" s="33" t="n">
        <v>69</v>
      </c>
      <c r="I446" s="45" t="n">
        <f aca="false">G446*((100-H446)/100)</f>
        <v>46.8565</v>
      </c>
      <c r="J446" s="35"/>
      <c r="K446" s="36" t="n">
        <f aca="false">+F446*J446</f>
        <v>0</v>
      </c>
      <c r="L446" s="37" t="n">
        <f aca="false">I446*K446</f>
        <v>0</v>
      </c>
    </row>
    <row r="447" customFormat="false" ht="15" hidden="false" customHeight="false" outlineLevel="0" collapsed="false">
      <c r="A447" s="32" t="s">
        <v>908</v>
      </c>
      <c r="B447" s="32" t="s">
        <v>23</v>
      </c>
      <c r="C447" s="32" t="s">
        <v>909</v>
      </c>
      <c r="D447" s="32" t="s">
        <v>25</v>
      </c>
      <c r="E447" s="33" t="n">
        <v>8430942031633</v>
      </c>
      <c r="F447" s="33" t="n">
        <v>4</v>
      </c>
      <c r="G447" s="34" t="n">
        <v>33.46</v>
      </c>
      <c r="H447" s="33" t="n">
        <v>69</v>
      </c>
      <c r="I447" s="45" t="n">
        <f aca="false">G447*((100-H447)/100)</f>
        <v>10.3726</v>
      </c>
      <c r="J447" s="35"/>
      <c r="K447" s="36" t="n">
        <f aca="false">+F447*J447</f>
        <v>0</v>
      </c>
      <c r="L447" s="37" t="n">
        <f aca="false">I447*K447</f>
        <v>0</v>
      </c>
    </row>
    <row r="448" customFormat="false" ht="15" hidden="false" customHeight="false" outlineLevel="0" collapsed="false">
      <c r="A448" s="32" t="s">
        <v>910</v>
      </c>
      <c r="B448" s="32" t="s">
        <v>23</v>
      </c>
      <c r="C448" s="32" t="s">
        <v>911</v>
      </c>
      <c r="D448" s="32" t="s">
        <v>25</v>
      </c>
      <c r="E448" s="33" t="n">
        <v>8430942015770</v>
      </c>
      <c r="F448" s="33" t="n">
        <v>4</v>
      </c>
      <c r="G448" s="34" t="n">
        <v>38.08</v>
      </c>
      <c r="H448" s="33" t="n">
        <v>69</v>
      </c>
      <c r="I448" s="45" t="n">
        <f aca="false">G448*((100-H448)/100)</f>
        <v>11.8048</v>
      </c>
      <c r="J448" s="35"/>
      <c r="K448" s="36" t="n">
        <f aca="false">+F448*J448</f>
        <v>0</v>
      </c>
      <c r="L448" s="37" t="n">
        <f aca="false">I448*K448</f>
        <v>0</v>
      </c>
    </row>
    <row r="449" customFormat="false" ht="15" hidden="false" customHeight="false" outlineLevel="0" collapsed="false">
      <c r="A449" s="32" t="s">
        <v>912</v>
      </c>
      <c r="B449" s="32" t="s">
        <v>23</v>
      </c>
      <c r="C449" s="32" t="s">
        <v>913</v>
      </c>
      <c r="D449" s="32" t="s">
        <v>25</v>
      </c>
      <c r="E449" s="33" t="n">
        <v>8430942015794</v>
      </c>
      <c r="F449" s="33" t="n">
        <v>2</v>
      </c>
      <c r="G449" s="34" t="n">
        <v>47.88</v>
      </c>
      <c r="H449" s="33" t="n">
        <v>69</v>
      </c>
      <c r="I449" s="45" t="n">
        <f aca="false">G449*((100-H449)/100)</f>
        <v>14.8428</v>
      </c>
      <c r="J449" s="35"/>
      <c r="K449" s="36" t="n">
        <f aca="false">+F449*J449</f>
        <v>0</v>
      </c>
      <c r="L449" s="37" t="n">
        <f aca="false">I449*K449</f>
        <v>0</v>
      </c>
    </row>
    <row r="450" customFormat="false" ht="15" hidden="false" customHeight="false" outlineLevel="0" collapsed="false">
      <c r="A450" s="32" t="s">
        <v>914</v>
      </c>
      <c r="B450" s="32" t="s">
        <v>23</v>
      </c>
      <c r="C450" s="32" t="s">
        <v>915</v>
      </c>
      <c r="D450" s="32" t="s">
        <v>25</v>
      </c>
      <c r="E450" s="33" t="n">
        <v>8430942015800</v>
      </c>
      <c r="F450" s="33" t="n">
        <v>2</v>
      </c>
      <c r="G450" s="34" t="n">
        <v>54.23</v>
      </c>
      <c r="H450" s="33" t="n">
        <v>69</v>
      </c>
      <c r="I450" s="45" t="n">
        <f aca="false">G450*((100-H450)/100)</f>
        <v>16.8113</v>
      </c>
      <c r="J450" s="35"/>
      <c r="K450" s="36" t="n">
        <f aca="false">+F450*J450</f>
        <v>0</v>
      </c>
      <c r="L450" s="37" t="n">
        <f aca="false">I450*K450</f>
        <v>0</v>
      </c>
    </row>
    <row r="451" customFormat="false" ht="15" hidden="false" customHeight="false" outlineLevel="0" collapsed="false">
      <c r="A451" s="32" t="s">
        <v>916</v>
      </c>
      <c r="B451" s="32" t="s">
        <v>23</v>
      </c>
      <c r="C451" s="32" t="s">
        <v>917</v>
      </c>
      <c r="D451" s="32" t="s">
        <v>25</v>
      </c>
      <c r="E451" s="33" t="n">
        <v>8430942015817</v>
      </c>
      <c r="F451" s="33" t="n">
        <v>2</v>
      </c>
      <c r="G451" s="34" t="n">
        <v>77.31</v>
      </c>
      <c r="H451" s="33" t="n">
        <v>69</v>
      </c>
      <c r="I451" s="45" t="n">
        <f aca="false">G451*((100-H451)/100)</f>
        <v>23.9661</v>
      </c>
      <c r="J451" s="35"/>
      <c r="K451" s="36" t="n">
        <f aca="false">+F451*J451</f>
        <v>0</v>
      </c>
      <c r="L451" s="37" t="n">
        <f aca="false">I451*K451</f>
        <v>0</v>
      </c>
    </row>
    <row r="452" customFormat="false" ht="15" hidden="false" customHeight="false" outlineLevel="0" collapsed="false">
      <c r="A452" s="32" t="s">
        <v>918</v>
      </c>
      <c r="B452" s="32" t="s">
        <v>23</v>
      </c>
      <c r="C452" s="32" t="s">
        <v>919</v>
      </c>
      <c r="D452" s="32" t="s">
        <v>25</v>
      </c>
      <c r="E452" s="33" t="n">
        <v>8430942015824</v>
      </c>
      <c r="F452" s="33" t="n">
        <v>1</v>
      </c>
      <c r="G452" s="34" t="n">
        <v>92.88</v>
      </c>
      <c r="H452" s="33" t="n">
        <v>69</v>
      </c>
      <c r="I452" s="45" t="n">
        <f aca="false">G452*((100-H452)/100)</f>
        <v>28.7928</v>
      </c>
      <c r="J452" s="35"/>
      <c r="K452" s="36" t="n">
        <f aca="false">+F452*J452</f>
        <v>0</v>
      </c>
      <c r="L452" s="37" t="n">
        <f aca="false">I452*K452</f>
        <v>0</v>
      </c>
    </row>
    <row r="453" customFormat="false" ht="15" hidden="false" customHeight="false" outlineLevel="0" collapsed="false">
      <c r="A453" s="32" t="s">
        <v>920</v>
      </c>
      <c r="B453" s="32" t="s">
        <v>23</v>
      </c>
      <c r="C453" s="32" t="s">
        <v>921</v>
      </c>
      <c r="D453" s="32" t="s">
        <v>922</v>
      </c>
      <c r="E453" s="33" t="n">
        <v>8430942354787</v>
      </c>
      <c r="F453" s="33" t="n">
        <v>1</v>
      </c>
      <c r="G453" s="34" t="n">
        <v>113.38</v>
      </c>
      <c r="H453" s="33" t="n">
        <v>69</v>
      </c>
      <c r="I453" s="45" t="n">
        <f aca="false">G453*((100-H453)/100)</f>
        <v>35.1478</v>
      </c>
      <c r="J453" s="35"/>
      <c r="K453" s="36" t="n">
        <f aca="false">+F453*J453</f>
        <v>0</v>
      </c>
      <c r="L453" s="37" t="n">
        <f aca="false">I453*K453</f>
        <v>0</v>
      </c>
    </row>
    <row r="454" customFormat="false" ht="15" hidden="false" customHeight="false" outlineLevel="0" collapsed="false">
      <c r="A454" s="32" t="s">
        <v>923</v>
      </c>
      <c r="B454" s="32" t="s">
        <v>23</v>
      </c>
      <c r="C454" s="32" t="s">
        <v>924</v>
      </c>
      <c r="D454" s="32" t="s">
        <v>922</v>
      </c>
      <c r="E454" s="33" t="n">
        <v>8430942354794</v>
      </c>
      <c r="F454" s="33" t="n">
        <v>1</v>
      </c>
      <c r="G454" s="34" t="n">
        <v>120.12</v>
      </c>
      <c r="H454" s="33" t="n">
        <v>69</v>
      </c>
      <c r="I454" s="45" t="n">
        <f aca="false">G454*((100-H454)/100)</f>
        <v>37.2372</v>
      </c>
      <c r="J454" s="35"/>
      <c r="K454" s="36" t="n">
        <f aca="false">+F454*J454</f>
        <v>0</v>
      </c>
      <c r="L454" s="37" t="n">
        <f aca="false">I454*K454</f>
        <v>0</v>
      </c>
    </row>
    <row r="455" customFormat="false" ht="15" hidden="false" customHeight="false" outlineLevel="0" collapsed="false">
      <c r="A455" s="32" t="s">
        <v>925</v>
      </c>
      <c r="B455" s="32" t="s">
        <v>23</v>
      </c>
      <c r="C455" s="32" t="s">
        <v>926</v>
      </c>
      <c r="D455" s="32" t="s">
        <v>922</v>
      </c>
      <c r="E455" s="33" t="n">
        <v>8430942354800</v>
      </c>
      <c r="F455" s="33" t="n">
        <v>1</v>
      </c>
      <c r="G455" s="34" t="n">
        <v>129.65</v>
      </c>
      <c r="H455" s="33" t="n">
        <v>69</v>
      </c>
      <c r="I455" s="45" t="n">
        <f aca="false">G455*((100-H455)/100)</f>
        <v>40.1915</v>
      </c>
      <c r="J455" s="35"/>
      <c r="K455" s="36" t="n">
        <f aca="false">+F455*J455</f>
        <v>0</v>
      </c>
      <c r="L455" s="37" t="n">
        <f aca="false">I455*K455</f>
        <v>0</v>
      </c>
    </row>
    <row r="456" customFormat="false" ht="15" hidden="false" customHeight="false" outlineLevel="0" collapsed="false">
      <c r="A456" s="32" t="s">
        <v>927</v>
      </c>
      <c r="B456" s="32" t="s">
        <v>23</v>
      </c>
      <c r="C456" s="32" t="s">
        <v>928</v>
      </c>
      <c r="D456" s="32" t="s">
        <v>922</v>
      </c>
      <c r="E456" s="33" t="n">
        <v>8430942354817</v>
      </c>
      <c r="F456" s="33" t="n">
        <v>1</v>
      </c>
      <c r="G456" s="34" t="n">
        <v>164.58</v>
      </c>
      <c r="H456" s="33" t="n">
        <v>69</v>
      </c>
      <c r="I456" s="45" t="n">
        <f aca="false">G456*((100-H456)/100)</f>
        <v>51.0198</v>
      </c>
      <c r="J456" s="35"/>
      <c r="K456" s="36" t="n">
        <f aca="false">+F456*J456</f>
        <v>0</v>
      </c>
      <c r="L456" s="37" t="n">
        <f aca="false">I456*K456</f>
        <v>0</v>
      </c>
    </row>
    <row r="457" customFormat="false" ht="15" hidden="false" customHeight="false" outlineLevel="0" collapsed="false">
      <c r="A457" s="32" t="s">
        <v>929</v>
      </c>
      <c r="B457" s="32" t="s">
        <v>23</v>
      </c>
      <c r="C457" s="32" t="s">
        <v>930</v>
      </c>
      <c r="D457" s="32" t="s">
        <v>922</v>
      </c>
      <c r="E457" s="33" t="n">
        <v>8430942354824</v>
      </c>
      <c r="F457" s="33" t="n">
        <v>1</v>
      </c>
      <c r="G457" s="34" t="n">
        <v>186.77</v>
      </c>
      <c r="H457" s="33" t="n">
        <v>69</v>
      </c>
      <c r="I457" s="45" t="n">
        <f aca="false">G457*((100-H457)/100)</f>
        <v>57.8987</v>
      </c>
      <c r="J457" s="35"/>
      <c r="K457" s="36" t="n">
        <f aca="false">+F457*J457</f>
        <v>0</v>
      </c>
      <c r="L457" s="37" t="n">
        <f aca="false">I457*K457</f>
        <v>0</v>
      </c>
    </row>
    <row r="458" customFormat="false" ht="15" hidden="false" customHeight="false" outlineLevel="0" collapsed="false">
      <c r="A458" s="32" t="s">
        <v>931</v>
      </c>
      <c r="B458" s="32" t="s">
        <v>23</v>
      </c>
      <c r="C458" s="32" t="s">
        <v>932</v>
      </c>
      <c r="D458" s="32" t="s">
        <v>922</v>
      </c>
      <c r="E458" s="33" t="n">
        <v>8430942354831</v>
      </c>
      <c r="F458" s="33" t="n">
        <v>1</v>
      </c>
      <c r="G458" s="34" t="n">
        <v>264.35</v>
      </c>
      <c r="H458" s="33" t="n">
        <v>69</v>
      </c>
      <c r="I458" s="45" t="n">
        <f aca="false">G458*((100-H458)/100)</f>
        <v>81.9485</v>
      </c>
      <c r="J458" s="35"/>
      <c r="K458" s="36" t="n">
        <f aca="false">+F458*J458</f>
        <v>0</v>
      </c>
      <c r="L458" s="37" t="n">
        <f aca="false">I458*K458</f>
        <v>0</v>
      </c>
    </row>
    <row r="459" customFormat="false" ht="15" hidden="false" customHeight="false" outlineLevel="0" collapsed="false">
      <c r="A459" s="32" t="s">
        <v>933</v>
      </c>
      <c r="B459" s="32" t="s">
        <v>23</v>
      </c>
      <c r="C459" s="32" t="s">
        <v>934</v>
      </c>
      <c r="D459" s="32" t="s">
        <v>922</v>
      </c>
      <c r="E459" s="33" t="n">
        <v>8430942354848</v>
      </c>
      <c r="F459" s="33" t="n">
        <v>1</v>
      </c>
      <c r="G459" s="34" t="n">
        <v>317.08</v>
      </c>
      <c r="H459" s="33" t="n">
        <v>69</v>
      </c>
      <c r="I459" s="45" t="n">
        <f aca="false">G459*((100-H459)/100)</f>
        <v>98.2948</v>
      </c>
      <c r="J459" s="35"/>
      <c r="K459" s="36" t="n">
        <f aca="false">+F459*J459</f>
        <v>0</v>
      </c>
      <c r="L459" s="37" t="n">
        <f aca="false">I459*K459</f>
        <v>0</v>
      </c>
    </row>
    <row r="460" customFormat="false" ht="15" hidden="false" customHeight="false" outlineLevel="0" collapsed="false">
      <c r="A460" s="32" t="s">
        <v>935</v>
      </c>
      <c r="B460" s="32" t="s">
        <v>23</v>
      </c>
      <c r="C460" s="32" t="s">
        <v>936</v>
      </c>
      <c r="D460" s="32" t="s">
        <v>87</v>
      </c>
      <c r="E460" s="33" t="n">
        <v>8430942354190</v>
      </c>
      <c r="F460" s="33" t="n">
        <v>1</v>
      </c>
      <c r="G460" s="34" t="n">
        <v>43.81</v>
      </c>
      <c r="H460" s="33" t="n">
        <v>69</v>
      </c>
      <c r="I460" s="45" t="n">
        <f aca="false">G460*((100-H460)/100)</f>
        <v>13.5811</v>
      </c>
      <c r="J460" s="35"/>
      <c r="K460" s="36" t="n">
        <f aca="false">+F460*J460</f>
        <v>0</v>
      </c>
      <c r="L460" s="37" t="n">
        <f aca="false">I460*K460</f>
        <v>0</v>
      </c>
    </row>
    <row r="461" customFormat="false" ht="15" hidden="false" customHeight="false" outlineLevel="0" collapsed="false">
      <c r="A461" s="32" t="s">
        <v>937</v>
      </c>
      <c r="B461" s="32" t="s">
        <v>23</v>
      </c>
      <c r="C461" s="32" t="s">
        <v>938</v>
      </c>
      <c r="D461" s="32" t="s">
        <v>87</v>
      </c>
      <c r="E461" s="33" t="n">
        <v>8430942354206</v>
      </c>
      <c r="F461" s="33" t="n">
        <v>1</v>
      </c>
      <c r="G461" s="34" t="n">
        <v>47.95</v>
      </c>
      <c r="H461" s="33" t="n">
        <v>69</v>
      </c>
      <c r="I461" s="45" t="n">
        <f aca="false">G461*((100-H461)/100)</f>
        <v>14.8645</v>
      </c>
      <c r="J461" s="35"/>
      <c r="K461" s="36" t="n">
        <f aca="false">+F461*J461</f>
        <v>0</v>
      </c>
      <c r="L461" s="37" t="n">
        <f aca="false">I461*K461</f>
        <v>0</v>
      </c>
    </row>
    <row r="462" customFormat="false" ht="15" hidden="false" customHeight="false" outlineLevel="0" collapsed="false">
      <c r="A462" s="32" t="s">
        <v>939</v>
      </c>
      <c r="B462" s="32" t="s">
        <v>23</v>
      </c>
      <c r="C462" s="32" t="s">
        <v>940</v>
      </c>
      <c r="D462" s="32" t="s">
        <v>87</v>
      </c>
      <c r="E462" s="33" t="n">
        <v>8430942354213</v>
      </c>
      <c r="F462" s="33" t="n">
        <v>1</v>
      </c>
      <c r="G462" s="34" t="n">
        <v>55.17</v>
      </c>
      <c r="H462" s="33" t="n">
        <v>69</v>
      </c>
      <c r="I462" s="45" t="n">
        <f aca="false">G462*((100-H462)/100)</f>
        <v>17.1027</v>
      </c>
      <c r="J462" s="35"/>
      <c r="K462" s="36" t="n">
        <f aca="false">+F462*J462</f>
        <v>0</v>
      </c>
      <c r="L462" s="37" t="n">
        <f aca="false">I462*K462</f>
        <v>0</v>
      </c>
    </row>
    <row r="463" customFormat="false" ht="15" hidden="false" customHeight="false" outlineLevel="0" collapsed="false">
      <c r="A463" s="32" t="s">
        <v>941</v>
      </c>
      <c r="B463" s="32" t="s">
        <v>23</v>
      </c>
      <c r="C463" s="32" t="s">
        <v>942</v>
      </c>
      <c r="D463" s="32" t="s">
        <v>87</v>
      </c>
      <c r="E463" s="33" t="n">
        <v>8430942354237</v>
      </c>
      <c r="F463" s="33" t="n">
        <v>1</v>
      </c>
      <c r="G463" s="34" t="n">
        <v>65.85</v>
      </c>
      <c r="H463" s="33" t="n">
        <v>69</v>
      </c>
      <c r="I463" s="45" t="n">
        <f aca="false">G463*((100-H463)/100)</f>
        <v>20.4135</v>
      </c>
      <c r="J463" s="35"/>
      <c r="K463" s="36" t="n">
        <f aca="false">+F463*J463</f>
        <v>0</v>
      </c>
      <c r="L463" s="37" t="n">
        <f aca="false">I463*K463</f>
        <v>0</v>
      </c>
    </row>
    <row r="464" customFormat="false" ht="15" hidden="false" customHeight="false" outlineLevel="0" collapsed="false">
      <c r="A464" s="32" t="s">
        <v>943</v>
      </c>
      <c r="B464" s="32" t="s">
        <v>23</v>
      </c>
      <c r="C464" s="32" t="s">
        <v>944</v>
      </c>
      <c r="D464" s="32" t="s">
        <v>87</v>
      </c>
      <c r="E464" s="33" t="n">
        <v>8430942354220</v>
      </c>
      <c r="F464" s="33" t="n">
        <v>1</v>
      </c>
      <c r="G464" s="34" t="n">
        <v>73.06</v>
      </c>
      <c r="H464" s="33" t="n">
        <v>69</v>
      </c>
      <c r="I464" s="45" t="n">
        <f aca="false">G464*((100-H464)/100)</f>
        <v>22.6486</v>
      </c>
      <c r="J464" s="35"/>
      <c r="K464" s="36" t="n">
        <f aca="false">+F464*J464</f>
        <v>0</v>
      </c>
      <c r="L464" s="37" t="n">
        <f aca="false">I464*K464</f>
        <v>0</v>
      </c>
    </row>
    <row r="465" customFormat="false" ht="15" hidden="false" customHeight="false" outlineLevel="0" collapsed="false">
      <c r="A465" s="32" t="s">
        <v>945</v>
      </c>
      <c r="B465" s="32" t="s">
        <v>23</v>
      </c>
      <c r="C465" s="32" t="s">
        <v>946</v>
      </c>
      <c r="D465" s="32" t="s">
        <v>87</v>
      </c>
      <c r="E465" s="33" t="n">
        <v>8430942354244</v>
      </c>
      <c r="F465" s="33" t="n">
        <v>1</v>
      </c>
      <c r="G465" s="34" t="n">
        <v>107</v>
      </c>
      <c r="H465" s="33" t="n">
        <v>69</v>
      </c>
      <c r="I465" s="45" t="n">
        <f aca="false">G465*((100-H465)/100)</f>
        <v>33.17</v>
      </c>
      <c r="J465" s="35"/>
      <c r="K465" s="36" t="n">
        <f aca="false">+F465*J465</f>
        <v>0</v>
      </c>
      <c r="L465" s="37" t="n">
        <f aca="false">I465*K465</f>
        <v>0</v>
      </c>
    </row>
    <row r="466" customFormat="false" ht="15" hidden="false" customHeight="false" outlineLevel="0" collapsed="false">
      <c r="A466" s="32" t="s">
        <v>947</v>
      </c>
      <c r="B466" s="32" t="s">
        <v>23</v>
      </c>
      <c r="C466" s="32" t="s">
        <v>948</v>
      </c>
      <c r="D466" s="32" t="s">
        <v>87</v>
      </c>
      <c r="E466" s="33" t="n">
        <v>8430942354251</v>
      </c>
      <c r="F466" s="33" t="n">
        <v>1</v>
      </c>
      <c r="G466" s="34" t="n">
        <v>129.02</v>
      </c>
      <c r="H466" s="33" t="n">
        <v>69</v>
      </c>
      <c r="I466" s="45" t="n">
        <f aca="false">G466*((100-H466)/100)</f>
        <v>39.9962</v>
      </c>
      <c r="J466" s="35"/>
      <c r="K466" s="36" t="n">
        <f aca="false">+F466*J466</f>
        <v>0</v>
      </c>
      <c r="L466" s="37" t="n">
        <f aca="false">I466*K466</f>
        <v>0</v>
      </c>
    </row>
    <row r="467" customFormat="false" ht="15" hidden="false" customHeight="false" outlineLevel="0" collapsed="false">
      <c r="A467" s="32" t="s">
        <v>949</v>
      </c>
      <c r="B467" s="32" t="s">
        <v>23</v>
      </c>
      <c r="C467" s="32" t="s">
        <v>950</v>
      </c>
      <c r="D467" s="32" t="s">
        <v>126</v>
      </c>
      <c r="E467" s="33" t="n">
        <v>8430942025489</v>
      </c>
      <c r="F467" s="33" t="n">
        <v>4</v>
      </c>
      <c r="G467" s="34" t="n">
        <v>28.91</v>
      </c>
      <c r="H467" s="33" t="n">
        <v>69</v>
      </c>
      <c r="I467" s="45" t="n">
        <f aca="false">G467*((100-H467)/100)</f>
        <v>8.9621</v>
      </c>
      <c r="J467" s="35"/>
      <c r="K467" s="36" t="n">
        <f aca="false">+F467*J467</f>
        <v>0</v>
      </c>
      <c r="L467" s="37" t="n">
        <f aca="false">I467*K467</f>
        <v>0</v>
      </c>
    </row>
    <row r="468" customFormat="false" ht="15" hidden="false" customHeight="false" outlineLevel="0" collapsed="false">
      <c r="A468" s="32" t="s">
        <v>951</v>
      </c>
      <c r="B468" s="32" t="s">
        <v>23</v>
      </c>
      <c r="C468" s="32" t="s">
        <v>952</v>
      </c>
      <c r="D468" s="32" t="s">
        <v>126</v>
      </c>
      <c r="E468" s="33" t="n">
        <v>8430942045302</v>
      </c>
      <c r="F468" s="33" t="n">
        <v>4</v>
      </c>
      <c r="G468" s="34" t="n">
        <v>33.95</v>
      </c>
      <c r="H468" s="33" t="n">
        <v>69</v>
      </c>
      <c r="I468" s="45" t="n">
        <f aca="false">G468*((100-H468)/100)</f>
        <v>10.5245</v>
      </c>
      <c r="J468" s="35"/>
      <c r="K468" s="36" t="n">
        <f aca="false">+F468*J468</f>
        <v>0</v>
      </c>
      <c r="L468" s="37" t="n">
        <f aca="false">I468*K468</f>
        <v>0</v>
      </c>
    </row>
    <row r="469" customFormat="false" ht="15" hidden="false" customHeight="false" outlineLevel="0" collapsed="false">
      <c r="A469" s="32" t="s">
        <v>953</v>
      </c>
      <c r="B469" s="32" t="s">
        <v>23</v>
      </c>
      <c r="C469" s="32" t="s">
        <v>954</v>
      </c>
      <c r="D469" s="32" t="s">
        <v>126</v>
      </c>
      <c r="E469" s="33" t="n">
        <v>8430942043728</v>
      </c>
      <c r="F469" s="33" t="n">
        <v>2</v>
      </c>
      <c r="G469" s="34" t="n">
        <v>43.15</v>
      </c>
      <c r="H469" s="33" t="n">
        <v>69</v>
      </c>
      <c r="I469" s="45" t="n">
        <f aca="false">G469*((100-H469)/100)</f>
        <v>13.3765</v>
      </c>
      <c r="J469" s="35"/>
      <c r="K469" s="36" t="n">
        <f aca="false">+F469*J469</f>
        <v>0</v>
      </c>
      <c r="L469" s="37" t="n">
        <f aca="false">I469*K469</f>
        <v>0</v>
      </c>
    </row>
    <row r="470" customFormat="false" ht="15" hidden="false" customHeight="false" outlineLevel="0" collapsed="false">
      <c r="A470" s="32" t="s">
        <v>955</v>
      </c>
      <c r="B470" s="32" t="s">
        <v>23</v>
      </c>
      <c r="C470" s="32" t="s">
        <v>956</v>
      </c>
      <c r="D470" s="32" t="s">
        <v>126</v>
      </c>
      <c r="E470" s="33" t="n">
        <v>8430942026400</v>
      </c>
      <c r="F470" s="33" t="n">
        <v>4</v>
      </c>
      <c r="G470" s="34" t="n">
        <v>26.02</v>
      </c>
      <c r="H470" s="33" t="n">
        <v>69</v>
      </c>
      <c r="I470" s="45" t="n">
        <f aca="false">G470*((100-H470)/100)</f>
        <v>8.0662</v>
      </c>
      <c r="J470" s="35"/>
      <c r="K470" s="36" t="n">
        <f aca="false">+F470*J470</f>
        <v>0</v>
      </c>
      <c r="L470" s="37" t="n">
        <f aca="false">I470*K470</f>
        <v>0</v>
      </c>
    </row>
    <row r="471" customFormat="false" ht="15" hidden="false" customHeight="false" outlineLevel="0" collapsed="false">
      <c r="A471" s="32" t="s">
        <v>957</v>
      </c>
      <c r="B471" s="32" t="s">
        <v>23</v>
      </c>
      <c r="C471" s="32" t="s">
        <v>958</v>
      </c>
      <c r="D471" s="32" t="s">
        <v>126</v>
      </c>
      <c r="E471" s="33" t="n">
        <v>8430942017378</v>
      </c>
      <c r="F471" s="33" t="n">
        <v>4</v>
      </c>
      <c r="G471" s="34" t="n">
        <v>39.52</v>
      </c>
      <c r="H471" s="33" t="n">
        <v>69</v>
      </c>
      <c r="I471" s="45" t="n">
        <f aca="false">G471*((100-H471)/100)</f>
        <v>12.2512</v>
      </c>
      <c r="J471" s="35"/>
      <c r="K471" s="36" t="n">
        <f aca="false">+F471*J471</f>
        <v>0</v>
      </c>
      <c r="L471" s="37" t="n">
        <f aca="false">I471*K471</f>
        <v>0</v>
      </c>
    </row>
    <row r="472" customFormat="false" ht="15" hidden="false" customHeight="false" outlineLevel="0" collapsed="false">
      <c r="A472" s="32" t="s">
        <v>959</v>
      </c>
      <c r="B472" s="32" t="s">
        <v>23</v>
      </c>
      <c r="C472" s="32" t="s">
        <v>960</v>
      </c>
      <c r="D472" s="32" t="s">
        <v>126</v>
      </c>
      <c r="E472" s="33" t="n">
        <v>8430942024468</v>
      </c>
      <c r="F472" s="33" t="n">
        <v>4</v>
      </c>
      <c r="G472" s="34" t="n">
        <v>39.52</v>
      </c>
      <c r="H472" s="33" t="n">
        <v>69</v>
      </c>
      <c r="I472" s="45" t="n">
        <f aca="false">G472*((100-H472)/100)</f>
        <v>12.2512</v>
      </c>
      <c r="J472" s="35"/>
      <c r="K472" s="36" t="n">
        <f aca="false">+F472*J472</f>
        <v>0</v>
      </c>
      <c r="L472" s="37" t="n">
        <f aca="false">I472*K472</f>
        <v>0</v>
      </c>
    </row>
    <row r="473" customFormat="false" ht="15" hidden="false" customHeight="false" outlineLevel="0" collapsed="false">
      <c r="A473" s="32" t="s">
        <v>961</v>
      </c>
      <c r="B473" s="32" t="s">
        <v>23</v>
      </c>
      <c r="C473" s="32" t="s">
        <v>962</v>
      </c>
      <c r="D473" s="32" t="s">
        <v>126</v>
      </c>
      <c r="E473" s="33" t="n">
        <v>8430942009557</v>
      </c>
      <c r="F473" s="33" t="n">
        <v>4</v>
      </c>
      <c r="G473" s="34" t="n">
        <v>30.44</v>
      </c>
      <c r="H473" s="33" t="n">
        <v>69</v>
      </c>
      <c r="I473" s="45" t="n">
        <f aca="false">G473*((100-H473)/100)</f>
        <v>9.4364</v>
      </c>
      <c r="J473" s="35"/>
      <c r="K473" s="36" t="n">
        <f aca="false">+F473*J473</f>
        <v>0</v>
      </c>
      <c r="L473" s="37" t="n">
        <f aca="false">I473*K473</f>
        <v>0</v>
      </c>
    </row>
    <row r="474" customFormat="false" ht="15" hidden="false" customHeight="false" outlineLevel="0" collapsed="false">
      <c r="A474" s="32" t="s">
        <v>963</v>
      </c>
      <c r="B474" s="32" t="s">
        <v>23</v>
      </c>
      <c r="C474" s="32" t="s">
        <v>964</v>
      </c>
      <c r="D474" s="32" t="s">
        <v>126</v>
      </c>
      <c r="E474" s="33" t="n">
        <v>8430942043711</v>
      </c>
      <c r="F474" s="33" t="n">
        <v>4</v>
      </c>
      <c r="G474" s="34" t="n">
        <v>45.83</v>
      </c>
      <c r="H474" s="33" t="n">
        <v>69</v>
      </c>
      <c r="I474" s="45" t="n">
        <f aca="false">G474*((100-H474)/100)</f>
        <v>14.2073</v>
      </c>
      <c r="J474" s="35"/>
      <c r="K474" s="36" t="n">
        <f aca="false">+F474*J474</f>
        <v>0</v>
      </c>
      <c r="L474" s="37" t="n">
        <f aca="false">I474*K474</f>
        <v>0</v>
      </c>
    </row>
    <row r="475" customFormat="false" ht="15" hidden="false" customHeight="false" outlineLevel="0" collapsed="false">
      <c r="A475" s="32" t="s">
        <v>965</v>
      </c>
      <c r="B475" s="32" t="s">
        <v>23</v>
      </c>
      <c r="C475" s="32" t="s">
        <v>966</v>
      </c>
      <c r="D475" s="32" t="s">
        <v>126</v>
      </c>
      <c r="E475" s="33" t="n">
        <v>8430942009526</v>
      </c>
      <c r="F475" s="33" t="n">
        <v>4</v>
      </c>
      <c r="G475" s="34" t="n">
        <v>45.83</v>
      </c>
      <c r="H475" s="33" t="n">
        <v>69</v>
      </c>
      <c r="I475" s="45" t="n">
        <f aca="false">G475*((100-H475)/100)</f>
        <v>14.2073</v>
      </c>
      <c r="J475" s="35"/>
      <c r="K475" s="36" t="n">
        <f aca="false">+F475*J475</f>
        <v>0</v>
      </c>
      <c r="L475" s="37" t="n">
        <f aca="false">I475*K475</f>
        <v>0</v>
      </c>
    </row>
    <row r="476" customFormat="false" ht="15" hidden="false" customHeight="false" outlineLevel="0" collapsed="false">
      <c r="A476" s="32" t="s">
        <v>967</v>
      </c>
      <c r="B476" s="32" t="s">
        <v>23</v>
      </c>
      <c r="C476" s="32" t="s">
        <v>968</v>
      </c>
      <c r="D476" s="32" t="s">
        <v>126</v>
      </c>
      <c r="E476" s="33" t="n">
        <v>8430942009724</v>
      </c>
      <c r="F476" s="33" t="n">
        <v>2</v>
      </c>
      <c r="G476" s="34" t="n">
        <v>43.15</v>
      </c>
      <c r="H476" s="33" t="n">
        <v>69</v>
      </c>
      <c r="I476" s="45" t="n">
        <f aca="false">G476*((100-H476)/100)</f>
        <v>13.3765</v>
      </c>
      <c r="J476" s="35"/>
      <c r="K476" s="36" t="n">
        <f aca="false">+F476*J476</f>
        <v>0</v>
      </c>
      <c r="L476" s="37" t="n">
        <f aca="false">I476*K476</f>
        <v>0</v>
      </c>
    </row>
    <row r="477" customFormat="false" ht="15" hidden="false" customHeight="false" outlineLevel="0" collapsed="false">
      <c r="A477" s="32" t="s">
        <v>969</v>
      </c>
      <c r="B477" s="32" t="s">
        <v>23</v>
      </c>
      <c r="C477" s="32" t="s">
        <v>970</v>
      </c>
      <c r="D477" s="32" t="s">
        <v>126</v>
      </c>
      <c r="E477" s="33" t="n">
        <v>8430942043735</v>
      </c>
      <c r="F477" s="33" t="n">
        <v>1</v>
      </c>
      <c r="G477" s="34" t="n">
        <v>65.58</v>
      </c>
      <c r="H477" s="33" t="n">
        <v>69</v>
      </c>
      <c r="I477" s="45" t="n">
        <f aca="false">G477*((100-H477)/100)</f>
        <v>20.3298</v>
      </c>
      <c r="J477" s="35"/>
      <c r="K477" s="36" t="n">
        <f aca="false">+F477*J477</f>
        <v>0</v>
      </c>
      <c r="L477" s="37" t="n">
        <f aca="false">I477*K477</f>
        <v>0</v>
      </c>
    </row>
    <row r="478" customFormat="false" ht="15" hidden="false" customHeight="false" outlineLevel="0" collapsed="false">
      <c r="A478" s="32" t="s">
        <v>971</v>
      </c>
      <c r="B478" s="32" t="s">
        <v>23</v>
      </c>
      <c r="C478" s="32" t="s">
        <v>972</v>
      </c>
      <c r="D478" s="32" t="s">
        <v>126</v>
      </c>
      <c r="E478" s="33" t="n">
        <v>8430942009700</v>
      </c>
      <c r="F478" s="33" t="n">
        <v>1</v>
      </c>
      <c r="G478" s="34" t="n">
        <v>65.58</v>
      </c>
      <c r="H478" s="33" t="n">
        <v>69</v>
      </c>
      <c r="I478" s="45" t="n">
        <f aca="false">G478*((100-H478)/100)</f>
        <v>20.3298</v>
      </c>
      <c r="J478" s="35"/>
      <c r="K478" s="36" t="n">
        <f aca="false">+F478*J478</f>
        <v>0</v>
      </c>
      <c r="L478" s="37" t="n">
        <f aca="false">I478*K478</f>
        <v>0</v>
      </c>
    </row>
    <row r="479" customFormat="false" ht="15" hidden="false" customHeight="false" outlineLevel="0" collapsed="false">
      <c r="A479" s="32" t="s">
        <v>973</v>
      </c>
      <c r="B479" s="32" t="s">
        <v>23</v>
      </c>
      <c r="C479" s="32" t="s">
        <v>974</v>
      </c>
      <c r="D479" s="32" t="s">
        <v>126</v>
      </c>
      <c r="E479" s="33" t="n">
        <v>8430942032180</v>
      </c>
      <c r="F479" s="33" t="n">
        <v>4</v>
      </c>
      <c r="G479" s="34" t="n">
        <v>36.35</v>
      </c>
      <c r="H479" s="33" t="n">
        <v>69</v>
      </c>
      <c r="I479" s="45" t="n">
        <f aca="false">G479*((100-H479)/100)</f>
        <v>11.2685</v>
      </c>
      <c r="J479" s="35"/>
      <c r="K479" s="36" t="n">
        <f aca="false">+F479*J479</f>
        <v>0</v>
      </c>
      <c r="L479" s="37" t="n">
        <f aca="false">I479*K479</f>
        <v>0</v>
      </c>
    </row>
    <row r="480" customFormat="false" ht="15" hidden="false" customHeight="false" outlineLevel="0" collapsed="false">
      <c r="A480" s="32" t="s">
        <v>975</v>
      </c>
      <c r="B480" s="32" t="s">
        <v>23</v>
      </c>
      <c r="C480" s="32" t="s">
        <v>976</v>
      </c>
      <c r="D480" s="32" t="s">
        <v>126</v>
      </c>
      <c r="E480" s="33" t="n">
        <v>8430942327705</v>
      </c>
      <c r="F480" s="33" t="n">
        <v>4</v>
      </c>
      <c r="G480" s="34" t="n">
        <v>39.42</v>
      </c>
      <c r="H480" s="33" t="n">
        <v>69</v>
      </c>
      <c r="I480" s="45" t="n">
        <f aca="false">G480*((100-H480)/100)</f>
        <v>12.2202</v>
      </c>
      <c r="J480" s="35"/>
      <c r="K480" s="36" t="n">
        <f aca="false">+F480*J480</f>
        <v>0</v>
      </c>
      <c r="L480" s="37" t="n">
        <f aca="false">I480*K480</f>
        <v>0</v>
      </c>
    </row>
    <row r="481" customFormat="false" ht="15" hidden="false" customHeight="false" outlineLevel="0" collapsed="false">
      <c r="A481" s="32" t="s">
        <v>977</v>
      </c>
      <c r="B481" s="32" t="s">
        <v>23</v>
      </c>
      <c r="C481" s="32" t="s">
        <v>978</v>
      </c>
      <c r="D481" s="32" t="s">
        <v>126</v>
      </c>
      <c r="E481" s="33" t="n">
        <v>8430942029791</v>
      </c>
      <c r="F481" s="33" t="n">
        <v>4</v>
      </c>
      <c r="G481" s="34" t="n">
        <v>50.19</v>
      </c>
      <c r="H481" s="33" t="n">
        <v>69</v>
      </c>
      <c r="I481" s="45" t="n">
        <f aca="false">G481*((100-H481)/100)</f>
        <v>15.5589</v>
      </c>
      <c r="J481" s="35"/>
      <c r="K481" s="36" t="n">
        <f aca="false">+F481*J481</f>
        <v>0</v>
      </c>
      <c r="L481" s="37" t="n">
        <f aca="false">I481*K481</f>
        <v>0</v>
      </c>
    </row>
    <row r="482" customFormat="false" ht="15" hidden="false" customHeight="false" outlineLevel="0" collapsed="false">
      <c r="A482" s="32" t="s">
        <v>979</v>
      </c>
      <c r="B482" s="32" t="s">
        <v>23</v>
      </c>
      <c r="C482" s="32" t="s">
        <v>980</v>
      </c>
      <c r="D482" s="32" t="s">
        <v>126</v>
      </c>
      <c r="E482" s="33" t="n">
        <v>8430942041649</v>
      </c>
      <c r="F482" s="33" t="n">
        <v>2</v>
      </c>
      <c r="G482" s="34" t="n">
        <v>58.85</v>
      </c>
      <c r="H482" s="33" t="n">
        <v>69</v>
      </c>
      <c r="I482" s="45" t="n">
        <f aca="false">G482*((100-H482)/100)</f>
        <v>18.2435</v>
      </c>
      <c r="J482" s="35"/>
      <c r="K482" s="36" t="n">
        <f aca="false">+F482*J482</f>
        <v>0</v>
      </c>
      <c r="L482" s="37" t="n">
        <f aca="false">I482*K482</f>
        <v>0</v>
      </c>
    </row>
    <row r="483" customFormat="false" ht="15" hidden="false" customHeight="false" outlineLevel="0" collapsed="false">
      <c r="A483" s="32" t="s">
        <v>981</v>
      </c>
      <c r="B483" s="32" t="s">
        <v>23</v>
      </c>
      <c r="C483" s="32" t="s">
        <v>982</v>
      </c>
      <c r="D483" s="32" t="s">
        <v>126</v>
      </c>
      <c r="E483" s="33" t="n">
        <v>8430942327729</v>
      </c>
      <c r="F483" s="33" t="n">
        <v>2</v>
      </c>
      <c r="G483" s="34" t="n">
        <v>91.54</v>
      </c>
      <c r="H483" s="33" t="n">
        <v>69</v>
      </c>
      <c r="I483" s="45" t="n">
        <f aca="false">G483*((100-H483)/100)</f>
        <v>28.3774</v>
      </c>
      <c r="J483" s="35"/>
      <c r="K483" s="36" t="n">
        <f aca="false">+F483*J483</f>
        <v>0</v>
      </c>
      <c r="L483" s="37" t="n">
        <f aca="false">I483*K483</f>
        <v>0</v>
      </c>
    </row>
    <row r="484" customFormat="false" ht="15" hidden="false" customHeight="false" outlineLevel="0" collapsed="false">
      <c r="A484" s="32" t="s">
        <v>983</v>
      </c>
      <c r="B484" s="32" t="s">
        <v>23</v>
      </c>
      <c r="C484" s="32" t="s">
        <v>984</v>
      </c>
      <c r="D484" s="32" t="s">
        <v>126</v>
      </c>
      <c r="E484" s="33" t="n">
        <v>8430942327736</v>
      </c>
      <c r="F484" s="33" t="n">
        <v>1</v>
      </c>
      <c r="G484" s="34" t="n">
        <v>118.08</v>
      </c>
      <c r="H484" s="33" t="n">
        <v>69</v>
      </c>
      <c r="I484" s="45" t="n">
        <f aca="false">G484*((100-H484)/100)</f>
        <v>36.6048</v>
      </c>
      <c r="J484" s="35"/>
      <c r="K484" s="36" t="n">
        <f aca="false">+F484*J484</f>
        <v>0</v>
      </c>
      <c r="L484" s="37" t="n">
        <f aca="false">I484*K484</f>
        <v>0</v>
      </c>
    </row>
    <row r="485" customFormat="false" ht="15" hidden="false" customHeight="false" outlineLevel="0" collapsed="false">
      <c r="A485" s="32" t="s">
        <v>985</v>
      </c>
      <c r="B485" s="32" t="s">
        <v>23</v>
      </c>
      <c r="C485" s="32" t="s">
        <v>986</v>
      </c>
      <c r="D485" s="32" t="s">
        <v>126</v>
      </c>
      <c r="E485" s="33" t="n">
        <v>8430942031626</v>
      </c>
      <c r="F485" s="33" t="n">
        <v>4</v>
      </c>
      <c r="G485" s="34" t="n">
        <v>36.35</v>
      </c>
      <c r="H485" s="33" t="n">
        <v>69</v>
      </c>
      <c r="I485" s="45" t="n">
        <f aca="false">G485*((100-H485)/100)</f>
        <v>11.2685</v>
      </c>
      <c r="J485" s="35"/>
      <c r="K485" s="36" t="n">
        <f aca="false">+F485*J485</f>
        <v>0</v>
      </c>
      <c r="L485" s="37" t="n">
        <f aca="false">I485*K485</f>
        <v>0</v>
      </c>
    </row>
    <row r="486" customFormat="false" ht="15" hidden="false" customHeight="false" outlineLevel="0" collapsed="false">
      <c r="A486" s="32" t="s">
        <v>987</v>
      </c>
      <c r="B486" s="32" t="s">
        <v>23</v>
      </c>
      <c r="C486" s="32" t="s">
        <v>988</v>
      </c>
      <c r="D486" s="32" t="s">
        <v>126</v>
      </c>
      <c r="E486" s="33" t="n">
        <v>8430942046248</v>
      </c>
      <c r="F486" s="33" t="n">
        <v>4</v>
      </c>
      <c r="G486" s="34" t="n">
        <v>39.42</v>
      </c>
      <c r="H486" s="33" t="n">
        <v>69</v>
      </c>
      <c r="I486" s="45" t="n">
        <f aca="false">G486*((100-H486)/100)</f>
        <v>12.2202</v>
      </c>
      <c r="J486" s="35"/>
      <c r="K486" s="36" t="n">
        <f aca="false">+F486*J486</f>
        <v>0</v>
      </c>
      <c r="L486" s="37" t="n">
        <f aca="false">I486*K486</f>
        <v>0</v>
      </c>
    </row>
    <row r="487" customFormat="false" ht="15" hidden="false" customHeight="false" outlineLevel="0" collapsed="false">
      <c r="A487" s="32" t="s">
        <v>989</v>
      </c>
      <c r="B487" s="32" t="s">
        <v>23</v>
      </c>
      <c r="C487" s="32" t="s">
        <v>990</v>
      </c>
      <c r="D487" s="32" t="s">
        <v>126</v>
      </c>
      <c r="E487" s="33" t="n">
        <v>8430942046286</v>
      </c>
      <c r="F487" s="33" t="n">
        <v>2</v>
      </c>
      <c r="G487" s="34" t="n">
        <v>50.19</v>
      </c>
      <c r="H487" s="33" t="n">
        <v>69</v>
      </c>
      <c r="I487" s="45" t="n">
        <f aca="false">G487*((100-H487)/100)</f>
        <v>15.5589</v>
      </c>
      <c r="J487" s="35"/>
      <c r="K487" s="36" t="n">
        <f aca="false">+F487*J487</f>
        <v>0</v>
      </c>
      <c r="L487" s="37" t="n">
        <f aca="false">I487*K487</f>
        <v>0</v>
      </c>
    </row>
    <row r="488" customFormat="false" ht="15" hidden="false" customHeight="false" outlineLevel="0" collapsed="false">
      <c r="A488" s="32" t="s">
        <v>991</v>
      </c>
      <c r="B488" s="32" t="s">
        <v>23</v>
      </c>
      <c r="C488" s="32" t="s">
        <v>992</v>
      </c>
      <c r="D488" s="32" t="s">
        <v>126</v>
      </c>
      <c r="E488" s="33" t="n">
        <v>8430942046309</v>
      </c>
      <c r="F488" s="33" t="n">
        <v>2</v>
      </c>
      <c r="G488" s="34" t="n">
        <v>58.85</v>
      </c>
      <c r="H488" s="33" t="n">
        <v>69</v>
      </c>
      <c r="I488" s="45" t="n">
        <f aca="false">G488*((100-H488)/100)</f>
        <v>18.2435</v>
      </c>
      <c r="J488" s="35"/>
      <c r="K488" s="36" t="n">
        <f aca="false">+F488*J488</f>
        <v>0</v>
      </c>
      <c r="L488" s="37" t="n">
        <f aca="false">I488*K488</f>
        <v>0</v>
      </c>
    </row>
    <row r="489" customFormat="false" ht="15" hidden="false" customHeight="false" outlineLevel="0" collapsed="false">
      <c r="A489" s="32" t="s">
        <v>993</v>
      </c>
      <c r="B489" s="32" t="s">
        <v>23</v>
      </c>
      <c r="C489" s="32" t="s">
        <v>994</v>
      </c>
      <c r="D489" s="32" t="s">
        <v>126</v>
      </c>
      <c r="E489" s="33" t="n">
        <v>8430942046323</v>
      </c>
      <c r="F489" s="33" t="n">
        <v>1</v>
      </c>
      <c r="G489" s="34" t="n">
        <v>91.54</v>
      </c>
      <c r="H489" s="33" t="n">
        <v>69</v>
      </c>
      <c r="I489" s="45" t="n">
        <f aca="false">G489*((100-H489)/100)</f>
        <v>28.3774</v>
      </c>
      <c r="J489" s="35"/>
      <c r="K489" s="36" t="n">
        <f aca="false">+F489*J489</f>
        <v>0</v>
      </c>
      <c r="L489" s="37" t="n">
        <f aca="false">I489*K489</f>
        <v>0</v>
      </c>
    </row>
    <row r="490" customFormat="false" ht="15" hidden="false" customHeight="false" outlineLevel="0" collapsed="false">
      <c r="A490" s="32" t="s">
        <v>995</v>
      </c>
      <c r="B490" s="32" t="s">
        <v>23</v>
      </c>
      <c r="C490" s="32" t="s">
        <v>996</v>
      </c>
      <c r="D490" s="32" t="s">
        <v>126</v>
      </c>
      <c r="E490" s="33" t="n">
        <v>8430942046347</v>
      </c>
      <c r="F490" s="33" t="n">
        <v>1</v>
      </c>
      <c r="G490" s="34" t="n">
        <v>118.08</v>
      </c>
      <c r="H490" s="33" t="n">
        <v>69</v>
      </c>
      <c r="I490" s="45" t="n">
        <f aca="false">G490*((100-H490)/100)</f>
        <v>36.6048</v>
      </c>
      <c r="J490" s="35"/>
      <c r="K490" s="36" t="n">
        <f aca="false">+F490*J490</f>
        <v>0</v>
      </c>
      <c r="L490" s="37" t="n">
        <f aca="false">I490*K490</f>
        <v>0</v>
      </c>
    </row>
    <row r="491" customFormat="false" ht="15" hidden="false" customHeight="false" outlineLevel="0" collapsed="false">
      <c r="A491" s="32" t="s">
        <v>997</v>
      </c>
      <c r="B491" s="32" t="s">
        <v>23</v>
      </c>
      <c r="C491" s="32" t="s">
        <v>998</v>
      </c>
      <c r="D491" s="32" t="s">
        <v>126</v>
      </c>
      <c r="E491" s="33" t="n">
        <v>8430942031619</v>
      </c>
      <c r="F491" s="33" t="n">
        <v>4</v>
      </c>
      <c r="G491" s="34" t="n">
        <v>45.58</v>
      </c>
      <c r="H491" s="33" t="n">
        <v>69</v>
      </c>
      <c r="I491" s="45" t="n">
        <f aca="false">G491*((100-H491)/100)</f>
        <v>14.1298</v>
      </c>
      <c r="J491" s="35"/>
      <c r="K491" s="36" t="n">
        <f aca="false">+F491*J491</f>
        <v>0</v>
      </c>
      <c r="L491" s="37" t="n">
        <f aca="false">I491*K491</f>
        <v>0</v>
      </c>
    </row>
    <row r="492" customFormat="false" ht="15" hidden="false" customHeight="false" outlineLevel="0" collapsed="false">
      <c r="A492" s="32" t="s">
        <v>999</v>
      </c>
      <c r="B492" s="32" t="s">
        <v>23</v>
      </c>
      <c r="C492" s="32" t="s">
        <v>1000</v>
      </c>
      <c r="D492" s="32" t="s">
        <v>126</v>
      </c>
      <c r="E492" s="33" t="n">
        <v>8430942327712</v>
      </c>
      <c r="F492" s="33" t="n">
        <v>4</v>
      </c>
      <c r="G492" s="34" t="n">
        <v>52.69</v>
      </c>
      <c r="H492" s="33" t="n">
        <v>69</v>
      </c>
      <c r="I492" s="45" t="n">
        <f aca="false">G492*((100-H492)/100)</f>
        <v>16.3339</v>
      </c>
      <c r="J492" s="35"/>
      <c r="K492" s="36" t="n">
        <f aca="false">+F492*J492</f>
        <v>0</v>
      </c>
      <c r="L492" s="37" t="n">
        <f aca="false">I492*K492</f>
        <v>0</v>
      </c>
    </row>
    <row r="493" customFormat="false" ht="15" hidden="false" customHeight="false" outlineLevel="0" collapsed="false">
      <c r="A493" s="32" t="s">
        <v>1001</v>
      </c>
      <c r="B493" s="32" t="s">
        <v>23</v>
      </c>
      <c r="C493" s="32" t="s">
        <v>1002</v>
      </c>
      <c r="D493" s="32" t="s">
        <v>126</v>
      </c>
      <c r="E493" s="33" t="n">
        <v>8430942043698</v>
      </c>
      <c r="F493" s="33" t="n">
        <v>2</v>
      </c>
      <c r="G493" s="34" t="n">
        <v>67.5</v>
      </c>
      <c r="H493" s="33" t="n">
        <v>69</v>
      </c>
      <c r="I493" s="45" t="n">
        <f aca="false">G493*((100-H493)/100)</f>
        <v>20.925</v>
      </c>
      <c r="J493" s="35"/>
      <c r="K493" s="36" t="n">
        <f aca="false">+F493*J493</f>
        <v>0</v>
      </c>
      <c r="L493" s="37" t="n">
        <f aca="false">I493*K493</f>
        <v>0</v>
      </c>
    </row>
    <row r="494" customFormat="false" ht="15" hidden="false" customHeight="false" outlineLevel="0" collapsed="false">
      <c r="A494" s="32" t="s">
        <v>1003</v>
      </c>
      <c r="B494" s="32" t="s">
        <v>23</v>
      </c>
      <c r="C494" s="32" t="s">
        <v>1004</v>
      </c>
      <c r="D494" s="32" t="s">
        <v>126</v>
      </c>
      <c r="E494" s="33" t="n">
        <v>8430942024444</v>
      </c>
      <c r="F494" s="33" t="n">
        <v>1</v>
      </c>
      <c r="G494" s="34" t="n">
        <v>79.62</v>
      </c>
      <c r="H494" s="33" t="n">
        <v>69</v>
      </c>
      <c r="I494" s="45" t="n">
        <f aca="false">G494*((100-H494)/100)</f>
        <v>24.6822</v>
      </c>
      <c r="J494" s="35"/>
      <c r="K494" s="36" t="n">
        <f aca="false">+F494*J494</f>
        <v>0</v>
      </c>
      <c r="L494" s="37" t="n">
        <f aca="false">I494*K494</f>
        <v>0</v>
      </c>
    </row>
    <row r="495" customFormat="false" ht="15" hidden="false" customHeight="false" outlineLevel="0" collapsed="false">
      <c r="A495" s="32" t="s">
        <v>1005</v>
      </c>
      <c r="B495" s="32" t="s">
        <v>23</v>
      </c>
      <c r="C495" s="32" t="s">
        <v>1006</v>
      </c>
      <c r="D495" s="32" t="s">
        <v>126</v>
      </c>
      <c r="E495" s="33" t="n">
        <v>8430942012243</v>
      </c>
      <c r="F495" s="33" t="n">
        <v>1</v>
      </c>
      <c r="G495" s="34" t="n">
        <v>121.54</v>
      </c>
      <c r="H495" s="33" t="n">
        <v>69</v>
      </c>
      <c r="I495" s="45" t="n">
        <f aca="false">G495*((100-H495)/100)</f>
        <v>37.6774</v>
      </c>
      <c r="J495" s="35"/>
      <c r="K495" s="36" t="n">
        <f aca="false">+F495*J495</f>
        <v>0</v>
      </c>
      <c r="L495" s="37" t="n">
        <f aca="false">I495*K495</f>
        <v>0</v>
      </c>
    </row>
    <row r="496" customFormat="false" ht="15" hidden="false" customHeight="false" outlineLevel="0" collapsed="false">
      <c r="A496" s="32" t="s">
        <v>1007</v>
      </c>
      <c r="B496" s="32" t="s">
        <v>23</v>
      </c>
      <c r="C496" s="32" t="s">
        <v>1008</v>
      </c>
      <c r="D496" s="32" t="s">
        <v>126</v>
      </c>
      <c r="E496" s="33" t="n">
        <v>8430942327743</v>
      </c>
      <c r="F496" s="33" t="n">
        <v>1</v>
      </c>
      <c r="G496" s="34" t="n">
        <v>157.31</v>
      </c>
      <c r="H496" s="33" t="n">
        <v>69</v>
      </c>
      <c r="I496" s="45" t="n">
        <f aca="false">G496*((100-H496)/100)</f>
        <v>48.7661</v>
      </c>
      <c r="J496" s="35"/>
      <c r="K496" s="36" t="n">
        <f aca="false">+F496*J496</f>
        <v>0</v>
      </c>
      <c r="L496" s="37" t="n">
        <f aca="false">I496*K496</f>
        <v>0</v>
      </c>
    </row>
    <row r="497" customFormat="false" ht="15" hidden="false" customHeight="false" outlineLevel="0" collapsed="false">
      <c r="A497" s="32" t="s">
        <v>1009</v>
      </c>
      <c r="B497" s="32" t="s">
        <v>23</v>
      </c>
      <c r="C497" s="32" t="s">
        <v>1010</v>
      </c>
      <c r="D497" s="32" t="s">
        <v>126</v>
      </c>
      <c r="E497" s="33" t="n">
        <v>8430942031756</v>
      </c>
      <c r="F497" s="33" t="n">
        <v>4</v>
      </c>
      <c r="G497" s="34" t="n">
        <v>45.58</v>
      </c>
      <c r="H497" s="33" t="n">
        <v>69</v>
      </c>
      <c r="I497" s="45" t="n">
        <f aca="false">G497*((100-H497)/100)</f>
        <v>14.1298</v>
      </c>
      <c r="J497" s="35"/>
      <c r="K497" s="36" t="n">
        <f aca="false">+F497*J497</f>
        <v>0</v>
      </c>
      <c r="L497" s="37" t="n">
        <f aca="false">I497*K497</f>
        <v>0</v>
      </c>
    </row>
    <row r="498" customFormat="false" ht="15" hidden="false" customHeight="false" outlineLevel="0" collapsed="false">
      <c r="A498" s="32" t="s">
        <v>1011</v>
      </c>
      <c r="B498" s="32" t="s">
        <v>23</v>
      </c>
      <c r="C498" s="32" t="s">
        <v>1012</v>
      </c>
      <c r="D498" s="32" t="s">
        <v>126</v>
      </c>
      <c r="E498" s="33" t="n">
        <v>8430942046255</v>
      </c>
      <c r="F498" s="33" t="n">
        <v>4</v>
      </c>
      <c r="G498" s="34" t="n">
        <v>52.69</v>
      </c>
      <c r="H498" s="33" t="n">
        <v>69</v>
      </c>
      <c r="I498" s="45" t="n">
        <f aca="false">G498*((100-H498)/100)</f>
        <v>16.3339</v>
      </c>
      <c r="J498" s="35"/>
      <c r="K498" s="36" t="n">
        <f aca="false">+F498*J498</f>
        <v>0</v>
      </c>
      <c r="L498" s="37" t="n">
        <f aca="false">I498*K498</f>
        <v>0</v>
      </c>
    </row>
    <row r="499" customFormat="false" ht="15" hidden="false" customHeight="false" outlineLevel="0" collapsed="false">
      <c r="A499" s="32" t="s">
        <v>1013</v>
      </c>
      <c r="B499" s="32" t="s">
        <v>23</v>
      </c>
      <c r="C499" s="32" t="s">
        <v>1014</v>
      </c>
      <c r="D499" s="32" t="s">
        <v>126</v>
      </c>
      <c r="E499" s="33" t="n">
        <v>8430942046293</v>
      </c>
      <c r="F499" s="33" t="n">
        <v>2</v>
      </c>
      <c r="G499" s="34" t="n">
        <v>67.5</v>
      </c>
      <c r="H499" s="33" t="n">
        <v>69</v>
      </c>
      <c r="I499" s="45" t="n">
        <f aca="false">G499*((100-H499)/100)</f>
        <v>20.925</v>
      </c>
      <c r="J499" s="35"/>
      <c r="K499" s="36" t="n">
        <f aca="false">+F499*J499</f>
        <v>0</v>
      </c>
      <c r="L499" s="37" t="n">
        <f aca="false">I499*K499</f>
        <v>0</v>
      </c>
    </row>
    <row r="500" customFormat="false" ht="15" hidden="false" customHeight="false" outlineLevel="0" collapsed="false">
      <c r="A500" s="32" t="s">
        <v>1015</v>
      </c>
      <c r="B500" s="32" t="s">
        <v>23</v>
      </c>
      <c r="C500" s="32" t="s">
        <v>1016</v>
      </c>
      <c r="D500" s="32" t="s">
        <v>126</v>
      </c>
      <c r="E500" s="33" t="n">
        <v>8430942046316</v>
      </c>
      <c r="F500" s="33" t="n">
        <v>1</v>
      </c>
      <c r="G500" s="34" t="n">
        <v>79.62</v>
      </c>
      <c r="H500" s="33" t="n">
        <v>69</v>
      </c>
      <c r="I500" s="45" t="n">
        <f aca="false">G500*((100-H500)/100)</f>
        <v>24.6822</v>
      </c>
      <c r="J500" s="35"/>
      <c r="K500" s="36" t="n">
        <f aca="false">+F500*J500</f>
        <v>0</v>
      </c>
      <c r="L500" s="37" t="n">
        <f aca="false">I500*K500</f>
        <v>0</v>
      </c>
    </row>
    <row r="501" customFormat="false" ht="15" hidden="false" customHeight="false" outlineLevel="0" collapsed="false">
      <c r="A501" s="32" t="s">
        <v>1017</v>
      </c>
      <c r="B501" s="32" t="s">
        <v>23</v>
      </c>
      <c r="C501" s="32" t="s">
        <v>1018</v>
      </c>
      <c r="D501" s="32" t="s">
        <v>126</v>
      </c>
      <c r="E501" s="33" t="n">
        <v>8430942046330</v>
      </c>
      <c r="F501" s="33" t="n">
        <v>1</v>
      </c>
      <c r="G501" s="34" t="n">
        <v>121.54</v>
      </c>
      <c r="H501" s="33" t="n">
        <v>69</v>
      </c>
      <c r="I501" s="45" t="n">
        <f aca="false">G501*((100-H501)/100)</f>
        <v>37.6774</v>
      </c>
      <c r="J501" s="35"/>
      <c r="K501" s="36" t="n">
        <f aca="false">+F501*J501</f>
        <v>0</v>
      </c>
      <c r="L501" s="37" t="n">
        <f aca="false">I501*K501</f>
        <v>0</v>
      </c>
    </row>
    <row r="502" customFormat="false" ht="15" hidden="false" customHeight="false" outlineLevel="0" collapsed="false">
      <c r="A502" s="32" t="s">
        <v>1019</v>
      </c>
      <c r="B502" s="32" t="s">
        <v>23</v>
      </c>
      <c r="C502" s="32" t="s">
        <v>1020</v>
      </c>
      <c r="D502" s="32" t="s">
        <v>126</v>
      </c>
      <c r="E502" s="33" t="n">
        <v>8430942046354</v>
      </c>
      <c r="F502" s="33" t="n">
        <v>1</v>
      </c>
      <c r="G502" s="34" t="n">
        <v>157.31</v>
      </c>
      <c r="H502" s="33" t="n">
        <v>69</v>
      </c>
      <c r="I502" s="45" t="n">
        <f aca="false">G502*((100-H502)/100)</f>
        <v>48.7661</v>
      </c>
      <c r="J502" s="35"/>
      <c r="K502" s="36" t="n">
        <f aca="false">+F502*J502</f>
        <v>0</v>
      </c>
      <c r="L502" s="37" t="n">
        <f aca="false">I502*K502</f>
        <v>0</v>
      </c>
    </row>
    <row r="503" customFormat="false" ht="15" hidden="false" customHeight="false" outlineLevel="0" collapsed="false">
      <c r="A503" s="32" t="s">
        <v>1021</v>
      </c>
      <c r="B503" s="32" t="s">
        <v>23</v>
      </c>
      <c r="C503" s="32" t="s">
        <v>1022</v>
      </c>
      <c r="D503" s="32" t="s">
        <v>211</v>
      </c>
      <c r="E503" s="33" t="n">
        <v>8430942010164</v>
      </c>
      <c r="F503" s="33" t="n">
        <v>1</v>
      </c>
      <c r="G503" s="34" t="n">
        <v>60.17</v>
      </c>
      <c r="H503" s="33" t="n">
        <v>69</v>
      </c>
      <c r="I503" s="45" t="n">
        <f aca="false">G503*((100-H503)/100)</f>
        <v>18.6527</v>
      </c>
      <c r="J503" s="35"/>
      <c r="K503" s="36" t="n">
        <f aca="false">+F503*J503</f>
        <v>0</v>
      </c>
      <c r="L503" s="37" t="n">
        <f aca="false">I503*K503</f>
        <v>0</v>
      </c>
    </row>
    <row r="504" customFormat="false" ht="15" hidden="false" customHeight="false" outlineLevel="0" collapsed="false">
      <c r="A504" s="32" t="s">
        <v>1023</v>
      </c>
      <c r="B504" s="32" t="s">
        <v>23</v>
      </c>
      <c r="C504" s="32" t="s">
        <v>1024</v>
      </c>
      <c r="D504" s="32" t="s">
        <v>211</v>
      </c>
      <c r="E504" s="33" t="n">
        <v>8430942031596</v>
      </c>
      <c r="F504" s="33" t="n">
        <v>1</v>
      </c>
      <c r="G504" s="34" t="n">
        <v>75.77</v>
      </c>
      <c r="H504" s="33" t="n">
        <v>69</v>
      </c>
      <c r="I504" s="45" t="n">
        <f aca="false">G504*((100-H504)/100)</f>
        <v>23.4887</v>
      </c>
      <c r="J504" s="35"/>
      <c r="K504" s="36" t="n">
        <f aca="false">+F504*J504</f>
        <v>0</v>
      </c>
      <c r="L504" s="37" t="n">
        <f aca="false">I504*K504</f>
        <v>0</v>
      </c>
    </row>
    <row r="505" customFormat="false" ht="15" hidden="false" customHeight="false" outlineLevel="0" collapsed="false">
      <c r="A505" s="32" t="s">
        <v>1025</v>
      </c>
      <c r="B505" s="32" t="s">
        <v>23</v>
      </c>
      <c r="C505" s="32" t="s">
        <v>1026</v>
      </c>
      <c r="D505" s="32" t="s">
        <v>211</v>
      </c>
      <c r="E505" s="33" t="n">
        <v>8430942333058</v>
      </c>
      <c r="F505" s="33" t="n">
        <v>1</v>
      </c>
      <c r="G505" s="34" t="n">
        <v>87.5</v>
      </c>
      <c r="H505" s="33" t="n">
        <v>69</v>
      </c>
      <c r="I505" s="45" t="n">
        <f aca="false">G505*((100-H505)/100)</f>
        <v>27.125</v>
      </c>
      <c r="J505" s="35"/>
      <c r="K505" s="36" t="n">
        <f aca="false">+F505*J505</f>
        <v>0</v>
      </c>
      <c r="L505" s="37" t="n">
        <f aca="false">I505*K505</f>
        <v>0</v>
      </c>
    </row>
    <row r="506" customFormat="false" ht="15" hidden="false" customHeight="false" outlineLevel="0" collapsed="false">
      <c r="A506" s="32" t="s">
        <v>1027</v>
      </c>
      <c r="B506" s="32" t="s">
        <v>23</v>
      </c>
      <c r="C506" s="32" t="s">
        <v>1028</v>
      </c>
      <c r="D506" s="32" t="s">
        <v>211</v>
      </c>
      <c r="E506" s="33" t="n">
        <v>8430942015695</v>
      </c>
      <c r="F506" s="33" t="n">
        <v>1</v>
      </c>
      <c r="G506" s="34" t="n">
        <v>106.92</v>
      </c>
      <c r="H506" s="33" t="n">
        <v>69</v>
      </c>
      <c r="I506" s="45" t="n">
        <f aca="false">G506*((100-H506)/100)</f>
        <v>33.1452</v>
      </c>
      <c r="J506" s="35"/>
      <c r="K506" s="36" t="n">
        <f aca="false">+F506*J506</f>
        <v>0</v>
      </c>
      <c r="L506" s="37" t="n">
        <f aca="false">I506*K506</f>
        <v>0</v>
      </c>
    </row>
    <row r="507" customFormat="false" ht="15" hidden="false" customHeight="false" outlineLevel="0" collapsed="false">
      <c r="A507" s="32" t="s">
        <v>1029</v>
      </c>
      <c r="B507" s="32" t="s">
        <v>23</v>
      </c>
      <c r="C507" s="32" t="s">
        <v>1030</v>
      </c>
      <c r="D507" s="32" t="s">
        <v>211</v>
      </c>
      <c r="E507" s="33" t="n">
        <v>8430942015633</v>
      </c>
      <c r="F507" s="33" t="n">
        <v>1</v>
      </c>
      <c r="G507" s="34" t="n">
        <v>119.04</v>
      </c>
      <c r="H507" s="33" t="n">
        <v>69</v>
      </c>
      <c r="I507" s="45" t="n">
        <f aca="false">G507*((100-H507)/100)</f>
        <v>36.9024</v>
      </c>
      <c r="J507" s="35"/>
      <c r="K507" s="36" t="n">
        <f aca="false">+F507*J507</f>
        <v>0</v>
      </c>
      <c r="L507" s="37" t="n">
        <f aca="false">I507*K507</f>
        <v>0</v>
      </c>
    </row>
    <row r="508" customFormat="false" ht="15" hidden="false" customHeight="false" outlineLevel="0" collapsed="false">
      <c r="A508" s="32" t="s">
        <v>1031</v>
      </c>
      <c r="B508" s="32" t="s">
        <v>23</v>
      </c>
      <c r="C508" s="32" t="s">
        <v>1032</v>
      </c>
      <c r="D508" s="32" t="s">
        <v>211</v>
      </c>
      <c r="E508" s="33" t="n">
        <v>8430942015657</v>
      </c>
      <c r="F508" s="33" t="n">
        <v>1</v>
      </c>
      <c r="G508" s="34" t="n">
        <v>168.85</v>
      </c>
      <c r="H508" s="33" t="n">
        <v>69</v>
      </c>
      <c r="I508" s="45" t="n">
        <f aca="false">G508*((100-H508)/100)</f>
        <v>52.3435</v>
      </c>
      <c r="J508" s="35"/>
      <c r="K508" s="36" t="n">
        <f aca="false">+F508*J508</f>
        <v>0</v>
      </c>
      <c r="L508" s="37" t="n">
        <f aca="false">I508*K508</f>
        <v>0</v>
      </c>
    </row>
    <row r="509" customFormat="false" ht="15" hidden="false" customHeight="false" outlineLevel="0" collapsed="false">
      <c r="A509" s="32" t="s">
        <v>1033</v>
      </c>
      <c r="B509" s="32" t="s">
        <v>23</v>
      </c>
      <c r="C509" s="32" t="s">
        <v>1034</v>
      </c>
      <c r="D509" s="32" t="s">
        <v>211</v>
      </c>
      <c r="E509" s="33" t="n">
        <v>8430942015671</v>
      </c>
      <c r="F509" s="33" t="n">
        <v>1</v>
      </c>
      <c r="G509" s="34" t="n">
        <v>188.08</v>
      </c>
      <c r="H509" s="33" t="n">
        <v>69</v>
      </c>
      <c r="I509" s="45" t="n">
        <f aca="false">G509*((100-H509)/100)</f>
        <v>58.3048</v>
      </c>
      <c r="J509" s="35"/>
      <c r="K509" s="36" t="n">
        <f aca="false">+F509*J509</f>
        <v>0</v>
      </c>
      <c r="L509" s="37" t="n">
        <f aca="false">I509*K509</f>
        <v>0</v>
      </c>
    </row>
    <row r="510" customFormat="false" ht="15" hidden="false" customHeight="false" outlineLevel="0" collapsed="false">
      <c r="A510" s="32" t="s">
        <v>1035</v>
      </c>
      <c r="B510" s="32" t="s">
        <v>23</v>
      </c>
      <c r="C510" s="32" t="s">
        <v>1036</v>
      </c>
      <c r="D510" s="32" t="s">
        <v>224</v>
      </c>
      <c r="E510" s="33" t="n">
        <v>8430942010331</v>
      </c>
      <c r="F510" s="33" t="n">
        <v>1</v>
      </c>
      <c r="G510" s="34" t="n">
        <v>19.15</v>
      </c>
      <c r="H510" s="33" t="n">
        <v>69</v>
      </c>
      <c r="I510" s="45" t="n">
        <f aca="false">G510*((100-H510)/100)</f>
        <v>5.9365</v>
      </c>
      <c r="J510" s="35"/>
      <c r="K510" s="36" t="n">
        <f aca="false">+F510*J510</f>
        <v>0</v>
      </c>
      <c r="L510" s="37" t="n">
        <f aca="false">I510*K510</f>
        <v>0</v>
      </c>
    </row>
    <row r="511" customFormat="false" ht="15" hidden="false" customHeight="false" outlineLevel="0" collapsed="false">
      <c r="A511" s="32" t="s">
        <v>1037</v>
      </c>
      <c r="B511" s="32" t="s">
        <v>23</v>
      </c>
      <c r="C511" s="32" t="s">
        <v>1038</v>
      </c>
      <c r="D511" s="32" t="s">
        <v>224</v>
      </c>
      <c r="E511" s="33" t="n">
        <v>8430942032173</v>
      </c>
      <c r="F511" s="33" t="n">
        <v>1</v>
      </c>
      <c r="G511" s="34" t="n">
        <v>24.65</v>
      </c>
      <c r="H511" s="33" t="n">
        <v>69</v>
      </c>
      <c r="I511" s="45" t="n">
        <f aca="false">G511*((100-H511)/100)</f>
        <v>7.6415</v>
      </c>
      <c r="J511" s="35"/>
      <c r="K511" s="36" t="n">
        <f aca="false">+F511*J511</f>
        <v>0</v>
      </c>
      <c r="L511" s="37" t="n">
        <f aca="false">I511*K511</f>
        <v>0</v>
      </c>
    </row>
    <row r="512" customFormat="false" ht="15" hidden="false" customHeight="false" outlineLevel="0" collapsed="false">
      <c r="A512" s="32" t="s">
        <v>1039</v>
      </c>
      <c r="B512" s="32" t="s">
        <v>23</v>
      </c>
      <c r="C512" s="32" t="s">
        <v>1040</v>
      </c>
      <c r="D512" s="32" t="s">
        <v>224</v>
      </c>
      <c r="E512" s="33" t="n">
        <v>8430942016135</v>
      </c>
      <c r="F512" s="33" t="n">
        <v>1</v>
      </c>
      <c r="G512" s="34" t="n">
        <v>26.5</v>
      </c>
      <c r="H512" s="33" t="n">
        <v>69</v>
      </c>
      <c r="I512" s="45" t="n">
        <f aca="false">G512*((100-H512)/100)</f>
        <v>8.215</v>
      </c>
      <c r="J512" s="35"/>
      <c r="K512" s="36" t="n">
        <f aca="false">+F512*J512</f>
        <v>0</v>
      </c>
      <c r="L512" s="37" t="n">
        <f aca="false">I512*K512</f>
        <v>0</v>
      </c>
    </row>
    <row r="513" customFormat="false" ht="15" hidden="false" customHeight="false" outlineLevel="0" collapsed="false">
      <c r="A513" s="32" t="s">
        <v>1041</v>
      </c>
      <c r="B513" s="32" t="s">
        <v>23</v>
      </c>
      <c r="C513" s="32" t="s">
        <v>1042</v>
      </c>
      <c r="D513" s="32" t="s">
        <v>224</v>
      </c>
      <c r="E513" s="33" t="n">
        <v>8430942016166</v>
      </c>
      <c r="F513" s="33" t="n">
        <v>1</v>
      </c>
      <c r="G513" s="34" t="n">
        <v>32.35</v>
      </c>
      <c r="H513" s="33" t="n">
        <v>69</v>
      </c>
      <c r="I513" s="45" t="n">
        <f aca="false">G513*((100-H513)/100)</f>
        <v>10.0285</v>
      </c>
      <c r="J513" s="35"/>
      <c r="K513" s="36" t="n">
        <f aca="false">+F513*J513</f>
        <v>0</v>
      </c>
      <c r="L513" s="37" t="n">
        <f aca="false">I513*K513</f>
        <v>0</v>
      </c>
    </row>
    <row r="514" customFormat="false" ht="15" hidden="false" customHeight="false" outlineLevel="0" collapsed="false">
      <c r="A514" s="32" t="s">
        <v>1043</v>
      </c>
      <c r="B514" s="32" t="s">
        <v>23</v>
      </c>
      <c r="C514" s="32" t="s">
        <v>1044</v>
      </c>
      <c r="D514" s="32" t="s">
        <v>224</v>
      </c>
      <c r="E514" s="33" t="n">
        <v>8430942016159</v>
      </c>
      <c r="F514" s="33" t="n">
        <v>1</v>
      </c>
      <c r="G514" s="34" t="n">
        <v>36.08</v>
      </c>
      <c r="H514" s="33" t="n">
        <v>69</v>
      </c>
      <c r="I514" s="45" t="n">
        <f aca="false">G514*((100-H514)/100)</f>
        <v>11.1848</v>
      </c>
      <c r="J514" s="35"/>
      <c r="K514" s="36" t="n">
        <f aca="false">+F514*J514</f>
        <v>0</v>
      </c>
      <c r="L514" s="37" t="n">
        <f aca="false">I514*K514</f>
        <v>0</v>
      </c>
    </row>
    <row r="515" customFormat="false" ht="15" hidden="false" customHeight="false" outlineLevel="0" collapsed="false">
      <c r="A515" s="32" t="s">
        <v>1045</v>
      </c>
      <c r="B515" s="32" t="s">
        <v>23</v>
      </c>
      <c r="C515" s="32" t="s">
        <v>1046</v>
      </c>
      <c r="D515" s="32" t="s">
        <v>224</v>
      </c>
      <c r="E515" s="33" t="n">
        <v>8430942306946</v>
      </c>
      <c r="F515" s="33" t="n">
        <v>1</v>
      </c>
      <c r="G515" s="34" t="n">
        <v>42.42</v>
      </c>
      <c r="H515" s="33" t="n">
        <v>69</v>
      </c>
      <c r="I515" s="45" t="n">
        <f aca="false">G515*((100-H515)/100)</f>
        <v>13.1502</v>
      </c>
      <c r="J515" s="35"/>
      <c r="K515" s="36" t="n">
        <f aca="false">+F515*J515</f>
        <v>0</v>
      </c>
      <c r="L515" s="37" t="n">
        <f aca="false">I515*K515</f>
        <v>0</v>
      </c>
    </row>
    <row r="516" customFormat="false" ht="15" hidden="false" customHeight="false" outlineLevel="0" collapsed="false">
      <c r="A516" s="32" t="s">
        <v>1047</v>
      </c>
      <c r="B516" s="32" t="s">
        <v>23</v>
      </c>
      <c r="C516" s="32" t="s">
        <v>1048</v>
      </c>
      <c r="D516" s="32" t="s">
        <v>224</v>
      </c>
      <c r="E516" s="33" t="n">
        <v>8430942306953</v>
      </c>
      <c r="F516" s="33" t="n">
        <v>1</v>
      </c>
      <c r="G516" s="34" t="n">
        <v>58.35</v>
      </c>
      <c r="H516" s="33" t="n">
        <v>69</v>
      </c>
      <c r="I516" s="45" t="n">
        <f aca="false">G516*((100-H516)/100)</f>
        <v>18.0885</v>
      </c>
      <c r="J516" s="35"/>
      <c r="K516" s="36" t="n">
        <f aca="false">+F516*J516</f>
        <v>0</v>
      </c>
      <c r="L516" s="37" t="n">
        <f aca="false">I516*K516</f>
        <v>0</v>
      </c>
    </row>
    <row r="517" customFormat="false" ht="15" hidden="false" customHeight="false" outlineLevel="0" collapsed="false">
      <c r="A517" s="32" t="s">
        <v>1049</v>
      </c>
      <c r="B517" s="32" t="s">
        <v>23</v>
      </c>
      <c r="C517" s="32" t="s">
        <v>1050</v>
      </c>
      <c r="D517" s="32" t="s">
        <v>224</v>
      </c>
      <c r="E517" s="33" t="n">
        <v>8430942332846</v>
      </c>
      <c r="F517" s="33" t="n">
        <v>1</v>
      </c>
      <c r="G517" s="34" t="n">
        <v>36.35</v>
      </c>
      <c r="H517" s="33" t="n">
        <v>69</v>
      </c>
      <c r="I517" s="45" t="n">
        <f aca="false">G517*((100-H517)/100)</f>
        <v>11.2685</v>
      </c>
      <c r="J517" s="35"/>
      <c r="K517" s="36" t="n">
        <f aca="false">+F517*J517</f>
        <v>0</v>
      </c>
      <c r="L517" s="37" t="n">
        <f aca="false">I517*K517</f>
        <v>0</v>
      </c>
    </row>
    <row r="518" customFormat="false" ht="15" hidden="false" customHeight="false" outlineLevel="0" collapsed="false">
      <c r="A518" s="32" t="s">
        <v>1051</v>
      </c>
      <c r="B518" s="32" t="s">
        <v>23</v>
      </c>
      <c r="C518" s="32" t="s">
        <v>1052</v>
      </c>
      <c r="D518" s="32" t="s">
        <v>224</v>
      </c>
      <c r="E518" s="33" t="n">
        <v>8430942332853</v>
      </c>
      <c r="F518" s="33" t="n">
        <v>1</v>
      </c>
      <c r="G518" s="34" t="n">
        <v>37.42</v>
      </c>
      <c r="H518" s="33" t="n">
        <v>69</v>
      </c>
      <c r="I518" s="45" t="n">
        <f aca="false">G518*((100-H518)/100)</f>
        <v>11.6002</v>
      </c>
      <c r="J518" s="35"/>
      <c r="K518" s="36" t="n">
        <f aca="false">+F518*J518</f>
        <v>0</v>
      </c>
      <c r="L518" s="37" t="n">
        <f aca="false">I518*K518</f>
        <v>0</v>
      </c>
    </row>
    <row r="519" customFormat="false" ht="15" hidden="false" customHeight="false" outlineLevel="0" collapsed="false">
      <c r="A519" s="32" t="s">
        <v>1053</v>
      </c>
      <c r="B519" s="32" t="s">
        <v>23</v>
      </c>
      <c r="C519" s="32" t="s">
        <v>1054</v>
      </c>
      <c r="D519" s="32" t="s">
        <v>224</v>
      </c>
      <c r="E519" s="33" t="n">
        <v>8430942332877</v>
      </c>
      <c r="F519" s="33" t="n">
        <v>1</v>
      </c>
      <c r="G519" s="34" t="n">
        <v>43.27</v>
      </c>
      <c r="H519" s="33" t="n">
        <v>69</v>
      </c>
      <c r="I519" s="45" t="n">
        <f aca="false">G519*((100-H519)/100)</f>
        <v>13.4137</v>
      </c>
      <c r="J519" s="35"/>
      <c r="K519" s="36" t="n">
        <f aca="false">+F519*J519</f>
        <v>0</v>
      </c>
      <c r="L519" s="37" t="n">
        <f aca="false">I519*K519</f>
        <v>0</v>
      </c>
    </row>
    <row r="520" customFormat="false" ht="15" hidden="false" customHeight="false" outlineLevel="0" collapsed="false">
      <c r="A520" s="32" t="s">
        <v>1055</v>
      </c>
      <c r="B520" s="32" t="s">
        <v>23</v>
      </c>
      <c r="C520" s="32" t="s">
        <v>1056</v>
      </c>
      <c r="D520" s="32" t="s">
        <v>224</v>
      </c>
      <c r="E520" s="33" t="n">
        <v>8430942332884</v>
      </c>
      <c r="F520" s="33" t="n">
        <v>1</v>
      </c>
      <c r="G520" s="34" t="n">
        <v>45.85</v>
      </c>
      <c r="H520" s="33" t="n">
        <v>69</v>
      </c>
      <c r="I520" s="45" t="n">
        <f aca="false">G520*((100-H520)/100)</f>
        <v>14.2135</v>
      </c>
      <c r="J520" s="35"/>
      <c r="K520" s="36" t="n">
        <f aca="false">+F520*J520</f>
        <v>0</v>
      </c>
      <c r="L520" s="37" t="n">
        <f aca="false">I520*K520</f>
        <v>0</v>
      </c>
    </row>
    <row r="521" customFormat="false" ht="15" hidden="false" customHeight="false" outlineLevel="0" collapsed="false">
      <c r="A521" s="32" t="s">
        <v>1057</v>
      </c>
      <c r="B521" s="32" t="s">
        <v>23</v>
      </c>
      <c r="C521" s="32" t="s">
        <v>1058</v>
      </c>
      <c r="D521" s="32" t="s">
        <v>224</v>
      </c>
      <c r="E521" s="33" t="n">
        <v>8430942332891</v>
      </c>
      <c r="F521" s="33" t="n">
        <v>1</v>
      </c>
      <c r="G521" s="34" t="n">
        <v>53.46</v>
      </c>
      <c r="H521" s="33" t="n">
        <v>69</v>
      </c>
      <c r="I521" s="45" t="n">
        <f aca="false">G521*((100-H521)/100)</f>
        <v>16.5726</v>
      </c>
      <c r="J521" s="35"/>
      <c r="K521" s="36" t="n">
        <f aca="false">+F521*J521</f>
        <v>0</v>
      </c>
      <c r="L521" s="37" t="n">
        <f aca="false">I521*K521</f>
        <v>0</v>
      </c>
    </row>
    <row r="522" customFormat="false" ht="15" hidden="false" customHeight="false" outlineLevel="0" collapsed="false">
      <c r="A522" s="32" t="s">
        <v>1059</v>
      </c>
      <c r="B522" s="32" t="s">
        <v>23</v>
      </c>
      <c r="C522" s="32" t="s">
        <v>1060</v>
      </c>
      <c r="D522" s="32" t="s">
        <v>224</v>
      </c>
      <c r="E522" s="33" t="n">
        <v>8430942332907</v>
      </c>
      <c r="F522" s="33" t="n">
        <v>1</v>
      </c>
      <c r="G522" s="34" t="n">
        <v>66.19</v>
      </c>
      <c r="H522" s="33" t="n">
        <v>69</v>
      </c>
      <c r="I522" s="45" t="n">
        <f aca="false">G522*((100-H522)/100)</f>
        <v>20.5189</v>
      </c>
      <c r="J522" s="35"/>
      <c r="K522" s="36" t="n">
        <f aca="false">+F522*J522</f>
        <v>0</v>
      </c>
      <c r="L522" s="37" t="n">
        <f aca="false">I522*K522</f>
        <v>0</v>
      </c>
    </row>
    <row r="523" customFormat="false" ht="15" hidden="false" customHeight="false" outlineLevel="0" collapsed="false">
      <c r="A523" s="32" t="s">
        <v>235</v>
      </c>
      <c r="B523" s="32" t="s">
        <v>23</v>
      </c>
      <c r="C523" s="32" t="s">
        <v>236</v>
      </c>
      <c r="D523" s="32" t="s">
        <v>237</v>
      </c>
      <c r="E523" s="33" t="n">
        <v>8430942354275</v>
      </c>
      <c r="F523" s="33" t="n">
        <v>1</v>
      </c>
      <c r="G523" s="34" t="n">
        <v>222.9</v>
      </c>
      <c r="H523" s="33" t="n">
        <v>69</v>
      </c>
      <c r="I523" s="45" t="n">
        <f aca="false">G523*((100-H523)/100)</f>
        <v>69.099</v>
      </c>
      <c r="J523" s="35"/>
      <c r="K523" s="36" t="n">
        <f aca="false">+F523*J523</f>
        <v>0</v>
      </c>
      <c r="L523" s="37" t="n">
        <f aca="false">I523*K523</f>
        <v>0</v>
      </c>
    </row>
    <row r="524" customFormat="false" ht="15" hidden="false" customHeight="false" outlineLevel="0" collapsed="false">
      <c r="A524" s="32" t="s">
        <v>1061</v>
      </c>
      <c r="B524" s="32" t="s">
        <v>23</v>
      </c>
      <c r="C524" s="32" t="s">
        <v>1062</v>
      </c>
      <c r="D524" s="32" t="s">
        <v>700</v>
      </c>
      <c r="E524" s="33" t="n">
        <v>8430942021306</v>
      </c>
      <c r="F524" s="33" t="n">
        <v>1</v>
      </c>
      <c r="G524" s="34" t="n">
        <v>81.5</v>
      </c>
      <c r="H524" s="33" t="n">
        <v>69</v>
      </c>
      <c r="I524" s="45" t="n">
        <f aca="false">G524*((100-H524)/100)</f>
        <v>25.265</v>
      </c>
      <c r="J524" s="35"/>
      <c r="K524" s="36" t="n">
        <f aca="false">+F524*J524</f>
        <v>0</v>
      </c>
      <c r="L524" s="37" t="n">
        <f aca="false">I524*K524</f>
        <v>0</v>
      </c>
    </row>
    <row r="525" customFormat="false" ht="15" hidden="false" customHeight="false" outlineLevel="0" collapsed="false">
      <c r="A525" s="32" t="s">
        <v>1063</v>
      </c>
      <c r="B525" s="32" t="s">
        <v>23</v>
      </c>
      <c r="C525" s="32" t="s">
        <v>1064</v>
      </c>
      <c r="D525" s="32" t="s">
        <v>700</v>
      </c>
      <c r="E525" s="33" t="n">
        <v>8430942021283</v>
      </c>
      <c r="F525" s="33" t="n">
        <v>1</v>
      </c>
      <c r="G525" s="34" t="n">
        <v>93.73</v>
      </c>
      <c r="H525" s="33" t="n">
        <v>69</v>
      </c>
      <c r="I525" s="45" t="n">
        <f aca="false">G525*((100-H525)/100)</f>
        <v>29.0563</v>
      </c>
      <c r="J525" s="35"/>
      <c r="K525" s="36" t="n">
        <f aca="false">+F525*J525</f>
        <v>0</v>
      </c>
      <c r="L525" s="37" t="n">
        <f aca="false">I525*K525</f>
        <v>0</v>
      </c>
    </row>
    <row r="526" customFormat="false" ht="15" hidden="false" customHeight="false" outlineLevel="0" collapsed="false">
      <c r="A526" s="32" t="s">
        <v>1065</v>
      </c>
      <c r="B526" s="32" t="s">
        <v>23</v>
      </c>
      <c r="C526" s="32" t="s">
        <v>1066</v>
      </c>
      <c r="D526" s="32" t="s">
        <v>700</v>
      </c>
      <c r="E526" s="33" t="n">
        <v>8430942044022</v>
      </c>
      <c r="F526" s="33" t="n">
        <v>1</v>
      </c>
      <c r="G526" s="34" t="n">
        <v>93.73</v>
      </c>
      <c r="H526" s="33" t="n">
        <v>69</v>
      </c>
      <c r="I526" s="45" t="n">
        <f aca="false">G526*((100-H526)/100)</f>
        <v>29.0563</v>
      </c>
      <c r="J526" s="35"/>
      <c r="K526" s="36" t="n">
        <f aca="false">+F526*J526</f>
        <v>0</v>
      </c>
      <c r="L526" s="37" t="n">
        <f aca="false">I526*K526</f>
        <v>0</v>
      </c>
    </row>
    <row r="527" customFormat="false" ht="15" hidden="false" customHeight="false" outlineLevel="0" collapsed="false">
      <c r="A527" s="32" t="s">
        <v>1067</v>
      </c>
      <c r="B527" s="32" t="s">
        <v>23</v>
      </c>
      <c r="C527" s="32" t="s">
        <v>1068</v>
      </c>
      <c r="D527" s="32" t="s">
        <v>700</v>
      </c>
      <c r="E527" s="33" t="n">
        <v>8430942031510</v>
      </c>
      <c r="F527" s="33" t="n">
        <v>1</v>
      </c>
      <c r="G527" s="34" t="n">
        <v>112.06</v>
      </c>
      <c r="H527" s="33" t="n">
        <v>69</v>
      </c>
      <c r="I527" s="45" t="n">
        <f aca="false">G527*((100-H527)/100)</f>
        <v>34.7386</v>
      </c>
      <c r="J527" s="35"/>
      <c r="K527" s="36" t="n">
        <f aca="false">+F527*J527</f>
        <v>0</v>
      </c>
      <c r="L527" s="37" t="n">
        <f aca="false">I527*K527</f>
        <v>0</v>
      </c>
    </row>
    <row r="528" customFormat="false" ht="15" hidden="false" customHeight="false" outlineLevel="0" collapsed="false">
      <c r="A528" s="32" t="s">
        <v>1069</v>
      </c>
      <c r="B528" s="32" t="s">
        <v>23</v>
      </c>
      <c r="C528" s="32" t="s">
        <v>1070</v>
      </c>
      <c r="D528" s="32" t="s">
        <v>700</v>
      </c>
      <c r="E528" s="33" t="n">
        <v>8430942021245</v>
      </c>
      <c r="F528" s="33" t="n">
        <v>1</v>
      </c>
      <c r="G528" s="34" t="n">
        <v>124.31</v>
      </c>
      <c r="H528" s="33" t="n">
        <v>69</v>
      </c>
      <c r="I528" s="45" t="n">
        <f aca="false">G528*((100-H528)/100)</f>
        <v>38.5361</v>
      </c>
      <c r="J528" s="35"/>
      <c r="K528" s="36" t="n">
        <f aca="false">+F528*J528</f>
        <v>0</v>
      </c>
      <c r="L528" s="37" t="n">
        <f aca="false">I528*K528</f>
        <v>0</v>
      </c>
    </row>
    <row r="529" customFormat="false" ht="15" hidden="false" customHeight="false" outlineLevel="0" collapsed="false">
      <c r="A529" s="32" t="s">
        <v>1071</v>
      </c>
      <c r="B529" s="32" t="s">
        <v>23</v>
      </c>
      <c r="C529" s="32" t="s">
        <v>1072</v>
      </c>
      <c r="D529" s="32" t="s">
        <v>700</v>
      </c>
      <c r="E529" s="33" t="n">
        <v>8430942021221</v>
      </c>
      <c r="F529" s="33" t="n">
        <v>1</v>
      </c>
      <c r="G529" s="34" t="n">
        <v>124.31</v>
      </c>
      <c r="H529" s="33" t="n">
        <v>69</v>
      </c>
      <c r="I529" s="45" t="n">
        <f aca="false">G529*((100-H529)/100)</f>
        <v>38.5361</v>
      </c>
      <c r="J529" s="35"/>
      <c r="K529" s="36" t="n">
        <f aca="false">+F529*J529</f>
        <v>0</v>
      </c>
      <c r="L529" s="37" t="n">
        <f aca="false">I529*K529</f>
        <v>0</v>
      </c>
    </row>
    <row r="530" customFormat="false" ht="15" hidden="false" customHeight="false" outlineLevel="0" collapsed="false">
      <c r="A530" s="32" t="s">
        <v>1073</v>
      </c>
      <c r="B530" s="32" t="s">
        <v>23</v>
      </c>
      <c r="C530" s="32" t="s">
        <v>1074</v>
      </c>
      <c r="D530" s="32" t="s">
        <v>700</v>
      </c>
      <c r="E530" s="33" t="n">
        <v>8430942021214</v>
      </c>
      <c r="F530" s="33" t="n">
        <v>1</v>
      </c>
      <c r="G530" s="34" t="n">
        <v>161</v>
      </c>
      <c r="H530" s="33" t="n">
        <v>69</v>
      </c>
      <c r="I530" s="45" t="n">
        <f aca="false">G530*((100-H530)/100)</f>
        <v>49.91</v>
      </c>
      <c r="J530" s="35"/>
      <c r="K530" s="36" t="n">
        <f aca="false">+F530*J530</f>
        <v>0</v>
      </c>
      <c r="L530" s="37" t="n">
        <f aca="false">I530*K530</f>
        <v>0</v>
      </c>
    </row>
    <row r="531" customFormat="false" ht="15" hidden="false" customHeight="false" outlineLevel="0" collapsed="false">
      <c r="A531" s="32" t="s">
        <v>1075</v>
      </c>
      <c r="B531" s="32" t="s">
        <v>23</v>
      </c>
      <c r="C531" s="32" t="s">
        <v>1076</v>
      </c>
      <c r="D531" s="32" t="s">
        <v>700</v>
      </c>
      <c r="E531" s="33" t="n">
        <v>8430942021207</v>
      </c>
      <c r="F531" s="33" t="n">
        <v>1</v>
      </c>
      <c r="G531" s="34" t="n">
        <v>199.72</v>
      </c>
      <c r="H531" s="33" t="n">
        <v>69</v>
      </c>
      <c r="I531" s="45" t="n">
        <f aca="false">G531*((100-H531)/100)</f>
        <v>61.9132</v>
      </c>
      <c r="J531" s="35"/>
      <c r="K531" s="36" t="n">
        <f aca="false">+F531*J531</f>
        <v>0</v>
      </c>
      <c r="L531" s="37" t="n">
        <f aca="false">I531*K531</f>
        <v>0</v>
      </c>
    </row>
    <row r="532" customFormat="false" ht="15" hidden="false" customHeight="false" outlineLevel="0" collapsed="false">
      <c r="A532" s="32" t="s">
        <v>1077</v>
      </c>
      <c r="B532" s="32" t="s">
        <v>23</v>
      </c>
      <c r="C532" s="32" t="s">
        <v>1078</v>
      </c>
      <c r="D532" s="32" t="s">
        <v>700</v>
      </c>
      <c r="E532" s="33" t="n">
        <v>8430942332273</v>
      </c>
      <c r="F532" s="33" t="n">
        <v>1</v>
      </c>
      <c r="G532" s="34" t="n">
        <v>199.72</v>
      </c>
      <c r="H532" s="33" t="n">
        <v>69</v>
      </c>
      <c r="I532" s="45" t="n">
        <f aca="false">G532*((100-H532)/100)</f>
        <v>61.9132</v>
      </c>
      <c r="J532" s="35"/>
      <c r="K532" s="36" t="n">
        <f aca="false">+F532*J532</f>
        <v>0</v>
      </c>
      <c r="L532" s="37" t="n">
        <f aca="false">I532*K532</f>
        <v>0</v>
      </c>
    </row>
    <row r="533" customFormat="false" ht="15" hidden="false" customHeight="false" outlineLevel="0" collapsed="false">
      <c r="A533" s="32" t="s">
        <v>1079</v>
      </c>
      <c r="B533" s="32" t="s">
        <v>23</v>
      </c>
      <c r="C533" s="32" t="s">
        <v>1080</v>
      </c>
      <c r="D533" s="32" t="s">
        <v>113</v>
      </c>
      <c r="E533" s="33" t="n">
        <v>8430942046569</v>
      </c>
      <c r="F533" s="33" t="n">
        <v>1</v>
      </c>
      <c r="G533" s="34" t="n">
        <v>81.5</v>
      </c>
      <c r="H533" s="33" t="n">
        <v>69</v>
      </c>
      <c r="I533" s="45" t="n">
        <f aca="false">G533*((100-H533)/100)</f>
        <v>25.265</v>
      </c>
      <c r="J533" s="35"/>
      <c r="K533" s="36" t="n">
        <f aca="false">+F533*J533</f>
        <v>0</v>
      </c>
      <c r="L533" s="37" t="n">
        <f aca="false">I533*K533</f>
        <v>0</v>
      </c>
    </row>
    <row r="534" customFormat="false" ht="15" hidden="false" customHeight="false" outlineLevel="0" collapsed="false">
      <c r="A534" s="32" t="s">
        <v>1081</v>
      </c>
      <c r="B534" s="32" t="s">
        <v>23</v>
      </c>
      <c r="C534" s="32" t="s">
        <v>1082</v>
      </c>
      <c r="D534" s="32" t="s">
        <v>113</v>
      </c>
      <c r="E534" s="33" t="n">
        <v>8430942046590</v>
      </c>
      <c r="F534" s="33" t="n">
        <v>1</v>
      </c>
      <c r="G534" s="34" t="n">
        <v>93.73</v>
      </c>
      <c r="H534" s="33" t="n">
        <v>69</v>
      </c>
      <c r="I534" s="45" t="n">
        <f aca="false">G534*((100-H534)/100)</f>
        <v>29.0563</v>
      </c>
      <c r="J534" s="35"/>
      <c r="K534" s="36" t="n">
        <f aca="false">+F534*J534</f>
        <v>0</v>
      </c>
      <c r="L534" s="37" t="n">
        <f aca="false">I534*K534</f>
        <v>0</v>
      </c>
    </row>
    <row r="535" customFormat="false" ht="15" hidden="false" customHeight="false" outlineLevel="0" collapsed="false">
      <c r="A535" s="32" t="s">
        <v>1083</v>
      </c>
      <c r="B535" s="32" t="s">
        <v>23</v>
      </c>
      <c r="C535" s="32" t="s">
        <v>1084</v>
      </c>
      <c r="D535" s="32" t="s">
        <v>113</v>
      </c>
      <c r="E535" s="33" t="n">
        <v>8430942031787</v>
      </c>
      <c r="F535" s="33" t="n">
        <v>1</v>
      </c>
      <c r="G535" s="34" t="n">
        <v>93.73</v>
      </c>
      <c r="H535" s="33" t="n">
        <v>69</v>
      </c>
      <c r="I535" s="45" t="n">
        <f aca="false">G535*((100-H535)/100)</f>
        <v>29.0563</v>
      </c>
      <c r="J535" s="35"/>
      <c r="K535" s="36" t="n">
        <f aca="false">+F535*J535</f>
        <v>0</v>
      </c>
      <c r="L535" s="37" t="n">
        <f aca="false">I535*K535</f>
        <v>0</v>
      </c>
    </row>
    <row r="536" customFormat="false" ht="15" hidden="false" customHeight="false" outlineLevel="0" collapsed="false">
      <c r="A536" s="32" t="s">
        <v>1085</v>
      </c>
      <c r="B536" s="32" t="s">
        <v>23</v>
      </c>
      <c r="C536" s="32" t="s">
        <v>1086</v>
      </c>
      <c r="D536" s="32" t="s">
        <v>113</v>
      </c>
      <c r="E536" s="33" t="n">
        <v>8430942046613</v>
      </c>
      <c r="F536" s="33" t="n">
        <v>1</v>
      </c>
      <c r="G536" s="34" t="n">
        <v>124.31</v>
      </c>
      <c r="H536" s="33" t="n">
        <v>69</v>
      </c>
      <c r="I536" s="45" t="n">
        <f aca="false">G536*((100-H536)/100)</f>
        <v>38.5361</v>
      </c>
      <c r="J536" s="35"/>
      <c r="K536" s="36" t="n">
        <f aca="false">+F536*J536</f>
        <v>0</v>
      </c>
      <c r="L536" s="37" t="n">
        <f aca="false">I536*K536</f>
        <v>0</v>
      </c>
    </row>
    <row r="537" customFormat="false" ht="15" hidden="false" customHeight="false" outlineLevel="0" collapsed="false">
      <c r="A537" s="32" t="s">
        <v>1087</v>
      </c>
      <c r="B537" s="32" t="s">
        <v>23</v>
      </c>
      <c r="C537" s="32" t="s">
        <v>1088</v>
      </c>
      <c r="D537" s="32" t="s">
        <v>113</v>
      </c>
      <c r="E537" s="33" t="n">
        <v>8430942031527</v>
      </c>
      <c r="F537" s="33" t="n">
        <v>1</v>
      </c>
      <c r="G537" s="34" t="n">
        <v>112.06</v>
      </c>
      <c r="H537" s="33" t="n">
        <v>69</v>
      </c>
      <c r="I537" s="45" t="n">
        <f aca="false">G537*((100-H537)/100)</f>
        <v>34.7386</v>
      </c>
      <c r="J537" s="35"/>
      <c r="K537" s="36" t="n">
        <f aca="false">+F537*J537</f>
        <v>0</v>
      </c>
      <c r="L537" s="37" t="n">
        <f aca="false">I537*K537</f>
        <v>0</v>
      </c>
    </row>
    <row r="538" customFormat="false" ht="15" hidden="false" customHeight="false" outlineLevel="0" collapsed="false">
      <c r="A538" s="32" t="s">
        <v>1089</v>
      </c>
      <c r="B538" s="32" t="s">
        <v>23</v>
      </c>
      <c r="C538" s="32" t="s">
        <v>1090</v>
      </c>
      <c r="D538" s="32" t="s">
        <v>113</v>
      </c>
      <c r="E538" s="33" t="n">
        <v>8430942046644</v>
      </c>
      <c r="F538" s="33" t="n">
        <v>1</v>
      </c>
      <c r="G538" s="34" t="n">
        <v>124.31</v>
      </c>
      <c r="H538" s="33" t="n">
        <v>69</v>
      </c>
      <c r="I538" s="45" t="n">
        <f aca="false">G538*((100-H538)/100)</f>
        <v>38.5361</v>
      </c>
      <c r="J538" s="35"/>
      <c r="K538" s="36" t="n">
        <f aca="false">+F538*J538</f>
        <v>0</v>
      </c>
      <c r="L538" s="37" t="n">
        <f aca="false">I538*K538</f>
        <v>0</v>
      </c>
    </row>
    <row r="539" customFormat="false" ht="15" hidden="false" customHeight="false" outlineLevel="0" collapsed="false">
      <c r="A539" s="32" t="s">
        <v>1091</v>
      </c>
      <c r="B539" s="32" t="s">
        <v>23</v>
      </c>
      <c r="C539" s="32" t="s">
        <v>1092</v>
      </c>
      <c r="D539" s="32" t="s">
        <v>113</v>
      </c>
      <c r="E539" s="33" t="n">
        <v>8430942046651</v>
      </c>
      <c r="F539" s="33" t="n">
        <v>1</v>
      </c>
      <c r="G539" s="34" t="n">
        <v>161</v>
      </c>
      <c r="H539" s="33" t="n">
        <v>69</v>
      </c>
      <c r="I539" s="45" t="n">
        <f aca="false">G539*((100-H539)/100)</f>
        <v>49.91</v>
      </c>
      <c r="J539" s="35"/>
      <c r="K539" s="36" t="n">
        <f aca="false">+F539*J539</f>
        <v>0</v>
      </c>
      <c r="L539" s="37" t="n">
        <f aca="false">I539*K539</f>
        <v>0</v>
      </c>
    </row>
    <row r="540" customFormat="false" ht="15" hidden="false" customHeight="false" outlineLevel="0" collapsed="false">
      <c r="A540" s="32" t="s">
        <v>1093</v>
      </c>
      <c r="B540" s="32" t="s">
        <v>23</v>
      </c>
      <c r="C540" s="32" t="s">
        <v>1094</v>
      </c>
      <c r="D540" s="32" t="s">
        <v>113</v>
      </c>
      <c r="E540" s="33" t="n">
        <v>8430942046675</v>
      </c>
      <c r="F540" s="33" t="n">
        <v>1</v>
      </c>
      <c r="G540" s="34" t="n">
        <v>199.72</v>
      </c>
      <c r="H540" s="33" t="n">
        <v>69</v>
      </c>
      <c r="I540" s="45" t="n">
        <f aca="false">G540*((100-H540)/100)</f>
        <v>61.9132</v>
      </c>
      <c r="J540" s="35"/>
      <c r="K540" s="36" t="n">
        <f aca="false">+F540*J540</f>
        <v>0</v>
      </c>
      <c r="L540" s="37" t="n">
        <f aca="false">I540*K540</f>
        <v>0</v>
      </c>
    </row>
    <row r="541" customFormat="false" ht="15" hidden="false" customHeight="false" outlineLevel="0" collapsed="false">
      <c r="A541" s="32" t="s">
        <v>1095</v>
      </c>
      <c r="B541" s="32" t="s">
        <v>23</v>
      </c>
      <c r="C541" s="32" t="s">
        <v>1096</v>
      </c>
      <c r="D541" s="32" t="s">
        <v>113</v>
      </c>
      <c r="E541" s="33" t="n">
        <v>8430942046668</v>
      </c>
      <c r="F541" s="33" t="n">
        <v>1</v>
      </c>
      <c r="G541" s="34" t="n">
        <v>199.72</v>
      </c>
      <c r="H541" s="33" t="n">
        <v>69</v>
      </c>
      <c r="I541" s="45" t="n">
        <f aca="false">G541*((100-H541)/100)</f>
        <v>61.9132</v>
      </c>
      <c r="J541" s="35"/>
      <c r="K541" s="36" t="n">
        <f aca="false">+F541*J541</f>
        <v>0</v>
      </c>
      <c r="L541" s="37" t="n">
        <f aca="false">I541*K541</f>
        <v>0</v>
      </c>
    </row>
    <row r="542" customFormat="false" ht="15" hidden="false" customHeight="false" outlineLevel="0" collapsed="false">
      <c r="A542" s="32" t="s">
        <v>1097</v>
      </c>
      <c r="B542" s="32" t="s">
        <v>23</v>
      </c>
      <c r="C542" s="32" t="s">
        <v>1098</v>
      </c>
      <c r="D542" s="32" t="s">
        <v>253</v>
      </c>
      <c r="E542" s="33" t="n">
        <v>8430942008864</v>
      </c>
      <c r="F542" s="33" t="n">
        <v>1</v>
      </c>
      <c r="G542" s="34" t="n">
        <v>20.18</v>
      </c>
      <c r="H542" s="33" t="n">
        <v>69</v>
      </c>
      <c r="I542" s="45" t="n">
        <f aca="false">G542*((100-H542)/100)</f>
        <v>6.2558</v>
      </c>
      <c r="J542" s="35"/>
      <c r="K542" s="36" t="n">
        <f aca="false">+F542*J542</f>
        <v>0</v>
      </c>
      <c r="L542" s="37" t="n">
        <f aca="false">I542*K542</f>
        <v>0</v>
      </c>
    </row>
    <row r="543" customFormat="false" ht="15" hidden="false" customHeight="false" outlineLevel="0" collapsed="false">
      <c r="A543" s="32" t="s">
        <v>1099</v>
      </c>
      <c r="B543" s="32" t="s">
        <v>23</v>
      </c>
      <c r="C543" s="32" t="s">
        <v>1100</v>
      </c>
      <c r="D543" s="32" t="s">
        <v>253</v>
      </c>
      <c r="E543" s="33" t="n">
        <v>8430942031602</v>
      </c>
      <c r="F543" s="33" t="n">
        <v>1</v>
      </c>
      <c r="G543" s="34" t="n">
        <v>23.84</v>
      </c>
      <c r="H543" s="33" t="n">
        <v>69</v>
      </c>
      <c r="I543" s="45" t="n">
        <f aca="false">G543*((100-H543)/100)</f>
        <v>7.3904</v>
      </c>
      <c r="J543" s="35"/>
      <c r="K543" s="36" t="n">
        <f aca="false">+F543*J543</f>
        <v>0</v>
      </c>
      <c r="L543" s="37" t="n">
        <f aca="false">I543*K543</f>
        <v>0</v>
      </c>
    </row>
    <row r="544" customFormat="false" ht="15" hidden="false" customHeight="false" outlineLevel="0" collapsed="false">
      <c r="A544" s="32" t="s">
        <v>1101</v>
      </c>
      <c r="B544" s="32" t="s">
        <v>23</v>
      </c>
      <c r="C544" s="32" t="s">
        <v>1102</v>
      </c>
      <c r="D544" s="32" t="s">
        <v>253</v>
      </c>
      <c r="E544" s="33" t="n">
        <v>8430942331153</v>
      </c>
      <c r="F544" s="33" t="n">
        <v>1</v>
      </c>
      <c r="G544" s="34" t="n">
        <v>24.37</v>
      </c>
      <c r="H544" s="33" t="n">
        <v>69</v>
      </c>
      <c r="I544" s="45" t="n">
        <f aca="false">G544*((100-H544)/100)</f>
        <v>7.5547</v>
      </c>
      <c r="J544" s="35"/>
      <c r="K544" s="36" t="n">
        <f aca="false">+F544*J544</f>
        <v>0</v>
      </c>
      <c r="L544" s="37" t="n">
        <f aca="false">I544*K544</f>
        <v>0</v>
      </c>
    </row>
    <row r="545" customFormat="false" ht="15" hidden="false" customHeight="false" outlineLevel="0" collapsed="false">
      <c r="A545" s="32" t="s">
        <v>1103</v>
      </c>
      <c r="B545" s="32" t="s">
        <v>23</v>
      </c>
      <c r="C545" s="32" t="s">
        <v>1104</v>
      </c>
      <c r="D545" s="32" t="s">
        <v>253</v>
      </c>
      <c r="E545" s="33" t="n">
        <v>8430942015831</v>
      </c>
      <c r="F545" s="33" t="n">
        <v>1</v>
      </c>
      <c r="G545" s="34" t="n">
        <v>30.92</v>
      </c>
      <c r="H545" s="33" t="n">
        <v>69</v>
      </c>
      <c r="I545" s="45" t="n">
        <f aca="false">G545*((100-H545)/100)</f>
        <v>9.5852</v>
      </c>
      <c r="J545" s="35"/>
      <c r="K545" s="36" t="n">
        <f aca="false">+F545*J545</f>
        <v>0</v>
      </c>
      <c r="L545" s="37" t="n">
        <f aca="false">I545*K545</f>
        <v>0</v>
      </c>
    </row>
    <row r="546" customFormat="false" ht="15" hidden="false" customHeight="false" outlineLevel="0" collapsed="false">
      <c r="A546" s="32" t="s">
        <v>1105</v>
      </c>
      <c r="B546" s="32" t="s">
        <v>23</v>
      </c>
      <c r="C546" s="32" t="s">
        <v>1106</v>
      </c>
      <c r="D546" s="32" t="s">
        <v>253</v>
      </c>
      <c r="E546" s="33" t="n">
        <v>8430942041717</v>
      </c>
      <c r="F546" s="33" t="n">
        <v>1</v>
      </c>
      <c r="G546" s="34" t="n">
        <v>31.19</v>
      </c>
      <c r="H546" s="33" t="n">
        <v>69</v>
      </c>
      <c r="I546" s="45" t="n">
        <f aca="false">G546*((100-H546)/100)</f>
        <v>9.6689</v>
      </c>
      <c r="J546" s="35"/>
      <c r="K546" s="36" t="n">
        <f aca="false">+F546*J546</f>
        <v>0</v>
      </c>
      <c r="L546" s="37" t="n">
        <f aca="false">I546*K546</f>
        <v>0</v>
      </c>
    </row>
    <row r="547" customFormat="false" ht="15" hidden="false" customHeight="false" outlineLevel="0" collapsed="false">
      <c r="A547" s="32" t="s">
        <v>1107</v>
      </c>
      <c r="B547" s="32" t="s">
        <v>23</v>
      </c>
      <c r="C547" s="32" t="s">
        <v>1108</v>
      </c>
      <c r="D547" s="32" t="s">
        <v>253</v>
      </c>
      <c r="E547" s="33" t="n">
        <v>8430942331160</v>
      </c>
      <c r="F547" s="33" t="n">
        <v>1</v>
      </c>
      <c r="G547" s="34" t="n">
        <v>39.31</v>
      </c>
      <c r="H547" s="33" t="n">
        <v>69</v>
      </c>
      <c r="I547" s="45" t="n">
        <f aca="false">G547*((100-H547)/100)</f>
        <v>12.1861</v>
      </c>
      <c r="J547" s="35"/>
      <c r="K547" s="36" t="n">
        <f aca="false">+F547*J547</f>
        <v>0</v>
      </c>
      <c r="L547" s="37" t="n">
        <f aca="false">I547*K547</f>
        <v>0</v>
      </c>
    </row>
    <row r="548" customFormat="false" ht="15" hidden="false" customHeight="false" outlineLevel="0" collapsed="false">
      <c r="A548" s="32" t="s">
        <v>1109</v>
      </c>
      <c r="B548" s="32" t="s">
        <v>23</v>
      </c>
      <c r="C548" s="32" t="s">
        <v>1110</v>
      </c>
      <c r="D548" s="32" t="s">
        <v>253</v>
      </c>
      <c r="E548" s="33" t="n">
        <v>8430942331177</v>
      </c>
      <c r="F548" s="33" t="n">
        <v>1</v>
      </c>
      <c r="G548" s="34" t="n">
        <v>46.64</v>
      </c>
      <c r="H548" s="33" t="n">
        <v>69</v>
      </c>
      <c r="I548" s="45" t="n">
        <f aca="false">G548*((100-H548)/100)</f>
        <v>14.4584</v>
      </c>
      <c r="J548" s="35"/>
      <c r="K548" s="36" t="n">
        <f aca="false">+F548*J548</f>
        <v>0</v>
      </c>
      <c r="L548" s="37" t="n">
        <f aca="false">I548*K548</f>
        <v>0</v>
      </c>
    </row>
    <row r="549" customFormat="false" ht="15" hidden="false" customHeight="false" outlineLevel="0" collapsed="false">
      <c r="A549" s="32" t="s">
        <v>1111</v>
      </c>
      <c r="B549" s="32" t="s">
        <v>23</v>
      </c>
      <c r="C549" s="32" t="s">
        <v>1112</v>
      </c>
      <c r="D549" s="32" t="s">
        <v>253</v>
      </c>
      <c r="E549" s="33" t="n">
        <v>8430942017521</v>
      </c>
      <c r="F549" s="33" t="n">
        <v>1</v>
      </c>
      <c r="G549" s="34" t="n">
        <v>24.29</v>
      </c>
      <c r="H549" s="33" t="n">
        <v>69</v>
      </c>
      <c r="I549" s="45" t="n">
        <f aca="false">G549*((100-H549)/100)</f>
        <v>7.5299</v>
      </c>
      <c r="J549" s="35"/>
      <c r="K549" s="36" t="n">
        <f aca="false">+F549*J549</f>
        <v>0</v>
      </c>
      <c r="L549" s="37" t="n">
        <f aca="false">I549*K549</f>
        <v>0</v>
      </c>
    </row>
    <row r="550" customFormat="false" ht="15" hidden="false" customHeight="false" outlineLevel="0" collapsed="false">
      <c r="A550" s="32" t="s">
        <v>1113</v>
      </c>
      <c r="B550" s="32" t="s">
        <v>23</v>
      </c>
      <c r="C550" s="32" t="s">
        <v>1114</v>
      </c>
      <c r="D550" s="32" t="s">
        <v>253</v>
      </c>
      <c r="E550" s="33" t="n">
        <v>8430942031749</v>
      </c>
      <c r="F550" s="33" t="n">
        <v>1</v>
      </c>
      <c r="G550" s="34" t="n">
        <v>29.62</v>
      </c>
      <c r="H550" s="33" t="n">
        <v>69</v>
      </c>
      <c r="I550" s="45" t="n">
        <f aca="false">G550*((100-H550)/100)</f>
        <v>9.1822</v>
      </c>
      <c r="J550" s="35"/>
      <c r="K550" s="36" t="n">
        <f aca="false">+F550*J550</f>
        <v>0</v>
      </c>
      <c r="L550" s="37" t="n">
        <f aca="false">I550*K550</f>
        <v>0</v>
      </c>
    </row>
    <row r="551" customFormat="false" ht="15" hidden="false" customHeight="false" outlineLevel="0" collapsed="false">
      <c r="A551" s="32" t="s">
        <v>1115</v>
      </c>
      <c r="B551" s="32" t="s">
        <v>23</v>
      </c>
      <c r="C551" s="32" t="s">
        <v>1116</v>
      </c>
      <c r="D551" s="32" t="s">
        <v>253</v>
      </c>
      <c r="E551" s="33" t="n">
        <v>8430942307004</v>
      </c>
      <c r="F551" s="33" t="n">
        <v>1</v>
      </c>
      <c r="G551" s="34" t="n">
        <v>30.92</v>
      </c>
      <c r="H551" s="33" t="n">
        <v>69</v>
      </c>
      <c r="I551" s="45" t="n">
        <f aca="false">G551*((100-H551)/100)</f>
        <v>9.5852</v>
      </c>
      <c r="J551" s="35"/>
      <c r="K551" s="36" t="n">
        <f aca="false">+F551*J551</f>
        <v>0</v>
      </c>
      <c r="L551" s="37" t="n">
        <f aca="false">I551*K551</f>
        <v>0</v>
      </c>
    </row>
    <row r="552" customFormat="false" ht="15" hidden="false" customHeight="false" outlineLevel="0" collapsed="false">
      <c r="A552" s="32" t="s">
        <v>1117</v>
      </c>
      <c r="B552" s="32" t="s">
        <v>23</v>
      </c>
      <c r="C552" s="32" t="s">
        <v>1118</v>
      </c>
      <c r="D552" s="32" t="s">
        <v>253</v>
      </c>
      <c r="E552" s="33" t="n">
        <v>8430942306991</v>
      </c>
      <c r="F552" s="33" t="n">
        <v>1</v>
      </c>
      <c r="G552" s="34" t="n">
        <v>35.11</v>
      </c>
      <c r="H552" s="33" t="n">
        <v>69</v>
      </c>
      <c r="I552" s="45" t="n">
        <f aca="false">G552*((100-H552)/100)</f>
        <v>10.8841</v>
      </c>
      <c r="J552" s="35"/>
      <c r="K552" s="36" t="n">
        <f aca="false">+F552*J552</f>
        <v>0</v>
      </c>
      <c r="L552" s="37" t="n">
        <f aca="false">I552*K552</f>
        <v>0</v>
      </c>
    </row>
    <row r="553" customFormat="false" ht="15" hidden="false" customHeight="false" outlineLevel="0" collapsed="false">
      <c r="A553" s="32" t="s">
        <v>1119</v>
      </c>
      <c r="B553" s="32" t="s">
        <v>23</v>
      </c>
      <c r="C553" s="32" t="s">
        <v>1120</v>
      </c>
      <c r="D553" s="32" t="s">
        <v>253</v>
      </c>
      <c r="E553" s="33" t="n">
        <v>8430942306984</v>
      </c>
      <c r="F553" s="33" t="n">
        <v>1</v>
      </c>
      <c r="G553" s="34" t="n">
        <v>38.26</v>
      </c>
      <c r="H553" s="33" t="n">
        <v>69</v>
      </c>
      <c r="I553" s="45" t="n">
        <f aca="false">G553*((100-H553)/100)</f>
        <v>11.8606</v>
      </c>
      <c r="J553" s="35"/>
      <c r="K553" s="36" t="n">
        <f aca="false">+F553*J553</f>
        <v>0</v>
      </c>
      <c r="L553" s="37" t="n">
        <f aca="false">I553*K553</f>
        <v>0</v>
      </c>
    </row>
    <row r="554" customFormat="false" ht="15" hidden="false" customHeight="false" outlineLevel="0" collapsed="false">
      <c r="A554" s="32" t="s">
        <v>1121</v>
      </c>
      <c r="B554" s="32" t="s">
        <v>23</v>
      </c>
      <c r="C554" s="32" t="s">
        <v>1122</v>
      </c>
      <c r="D554" s="32" t="s">
        <v>253</v>
      </c>
      <c r="E554" s="33" t="n">
        <v>8430942016289</v>
      </c>
      <c r="F554" s="33" t="n">
        <v>1</v>
      </c>
      <c r="G554" s="34" t="n">
        <v>45.6</v>
      </c>
      <c r="H554" s="33" t="n">
        <v>69</v>
      </c>
      <c r="I554" s="45" t="n">
        <f aca="false">G554*((100-H554)/100)</f>
        <v>14.136</v>
      </c>
      <c r="J554" s="35"/>
      <c r="K554" s="36" t="n">
        <f aca="false">+F554*J554</f>
        <v>0</v>
      </c>
      <c r="L554" s="37" t="n">
        <f aca="false">I554*K554</f>
        <v>0</v>
      </c>
    </row>
    <row r="555" customFormat="false" ht="15" hidden="false" customHeight="false" outlineLevel="0" collapsed="false">
      <c r="A555" s="32" t="s">
        <v>1123</v>
      </c>
      <c r="B555" s="32" t="s">
        <v>23</v>
      </c>
      <c r="C555" s="32" t="s">
        <v>1124</v>
      </c>
      <c r="D555" s="32" t="s">
        <v>253</v>
      </c>
      <c r="E555" s="33" t="n">
        <v>8430942016272</v>
      </c>
      <c r="F555" s="33" t="n">
        <v>1</v>
      </c>
      <c r="G555" s="34" t="n">
        <v>52.42</v>
      </c>
      <c r="H555" s="33" t="n">
        <v>69</v>
      </c>
      <c r="I555" s="45" t="n">
        <f aca="false">G555*((100-H555)/100)</f>
        <v>16.2502</v>
      </c>
      <c r="J555" s="35"/>
      <c r="K555" s="36" t="n">
        <f aca="false">+F555*J555</f>
        <v>0</v>
      </c>
      <c r="L555" s="37" t="n">
        <f aca="false">I555*K555</f>
        <v>0</v>
      </c>
    </row>
    <row r="556" customFormat="false" ht="15" hidden="false" customHeight="false" outlineLevel="0" collapsed="false">
      <c r="A556" s="32" t="s">
        <v>1125</v>
      </c>
      <c r="B556" s="32" t="s">
        <v>23</v>
      </c>
      <c r="C556" s="32" t="s">
        <v>1126</v>
      </c>
      <c r="D556" s="32" t="s">
        <v>878</v>
      </c>
      <c r="E556" s="33" t="n">
        <v>8430942012229</v>
      </c>
      <c r="F556" s="33" t="n">
        <v>1</v>
      </c>
      <c r="G556" s="34" t="n">
        <v>43.57</v>
      </c>
      <c r="H556" s="33" t="n">
        <v>69</v>
      </c>
      <c r="I556" s="45" t="n">
        <f aca="false">G556*((100-H556)/100)</f>
        <v>13.5067</v>
      </c>
      <c r="J556" s="35"/>
      <c r="K556" s="36" t="n">
        <f aca="false">+F556*J556</f>
        <v>0</v>
      </c>
      <c r="L556" s="37" t="n">
        <f aca="false">I556*K556</f>
        <v>0</v>
      </c>
    </row>
    <row r="557" customFormat="false" ht="15" hidden="false" customHeight="false" outlineLevel="0" collapsed="false">
      <c r="A557" s="32" t="s">
        <v>1127</v>
      </c>
      <c r="B557" s="32" t="s">
        <v>23</v>
      </c>
      <c r="C557" s="32" t="s">
        <v>1128</v>
      </c>
      <c r="D557" s="32" t="s">
        <v>878</v>
      </c>
      <c r="E557" s="33" t="n">
        <v>8430942025540</v>
      </c>
      <c r="F557" s="33" t="n">
        <v>1</v>
      </c>
      <c r="G557" s="34" t="n">
        <v>46.13</v>
      </c>
      <c r="H557" s="33" t="n">
        <v>69</v>
      </c>
      <c r="I557" s="45" t="n">
        <f aca="false">G557*((100-H557)/100)</f>
        <v>14.3003</v>
      </c>
      <c r="J557" s="35"/>
      <c r="K557" s="36" t="n">
        <f aca="false">+F557*J557</f>
        <v>0</v>
      </c>
      <c r="L557" s="37" t="n">
        <f aca="false">I557*K557</f>
        <v>0</v>
      </c>
    </row>
    <row r="558" customFormat="false" ht="15" hidden="false" customHeight="false" outlineLevel="0" collapsed="false">
      <c r="A558" s="32" t="s">
        <v>1129</v>
      </c>
      <c r="B558" s="32" t="s">
        <v>23</v>
      </c>
      <c r="C558" s="32" t="s">
        <v>1130</v>
      </c>
      <c r="D558" s="32" t="s">
        <v>878</v>
      </c>
      <c r="E558" s="33" t="n">
        <v>8430942327897</v>
      </c>
      <c r="F558" s="33" t="n">
        <v>1</v>
      </c>
      <c r="G558" s="34" t="n">
        <v>47.53</v>
      </c>
      <c r="H558" s="33" t="n">
        <v>69</v>
      </c>
      <c r="I558" s="45" t="n">
        <f aca="false">G558*((100-H558)/100)</f>
        <v>14.7343</v>
      </c>
      <c r="J558" s="35"/>
      <c r="K558" s="36" t="n">
        <f aca="false">+F558*J558</f>
        <v>0</v>
      </c>
      <c r="L558" s="37" t="n">
        <f aca="false">I558*K558</f>
        <v>0</v>
      </c>
    </row>
    <row r="559" customFormat="false" ht="15" hidden="false" customHeight="false" outlineLevel="0" collapsed="false">
      <c r="A559" s="32" t="s">
        <v>1131</v>
      </c>
      <c r="B559" s="32" t="s">
        <v>23</v>
      </c>
      <c r="C559" s="32" t="s">
        <v>1132</v>
      </c>
      <c r="D559" s="32" t="s">
        <v>878</v>
      </c>
      <c r="E559" s="33" t="n">
        <v>8430942327910</v>
      </c>
      <c r="F559" s="33" t="n">
        <v>1</v>
      </c>
      <c r="G559" s="34" t="n">
        <v>51.85</v>
      </c>
      <c r="H559" s="33" t="n">
        <v>69</v>
      </c>
      <c r="I559" s="45" t="n">
        <f aca="false">G559*((100-H559)/100)</f>
        <v>16.0735</v>
      </c>
      <c r="J559" s="35"/>
      <c r="K559" s="36" t="n">
        <f aca="false">+F559*J559</f>
        <v>0</v>
      </c>
      <c r="L559" s="37" t="n">
        <f aca="false">I559*K559</f>
        <v>0</v>
      </c>
    </row>
    <row r="560" customFormat="false" ht="15" hidden="false" customHeight="false" outlineLevel="0" collapsed="false">
      <c r="A560" s="32" t="s">
        <v>1133</v>
      </c>
      <c r="B560" s="32" t="s">
        <v>23</v>
      </c>
      <c r="C560" s="32" t="s">
        <v>1134</v>
      </c>
      <c r="D560" s="32" t="s">
        <v>878</v>
      </c>
      <c r="E560" s="33" t="n">
        <v>8430942327927</v>
      </c>
      <c r="F560" s="33" t="n">
        <v>1</v>
      </c>
      <c r="G560" s="34" t="n">
        <v>57.41</v>
      </c>
      <c r="H560" s="33" t="n">
        <v>69</v>
      </c>
      <c r="I560" s="45" t="n">
        <f aca="false">G560*((100-H560)/100)</f>
        <v>17.7971</v>
      </c>
      <c r="J560" s="35"/>
      <c r="K560" s="36" t="n">
        <f aca="false">+F560*J560</f>
        <v>0</v>
      </c>
      <c r="L560" s="37" t="n">
        <f aca="false">I560*K560</f>
        <v>0</v>
      </c>
    </row>
    <row r="561" customFormat="false" ht="15" hidden="false" customHeight="false" outlineLevel="0" collapsed="false">
      <c r="A561" s="32" t="s">
        <v>1135</v>
      </c>
      <c r="B561" s="32" t="s">
        <v>23</v>
      </c>
      <c r="C561" s="32" t="s">
        <v>1136</v>
      </c>
      <c r="D561" s="32" t="s">
        <v>878</v>
      </c>
      <c r="E561" s="33" t="n">
        <v>8430942327934</v>
      </c>
      <c r="F561" s="33" t="n">
        <v>1</v>
      </c>
      <c r="G561" s="34" t="n">
        <v>73.04</v>
      </c>
      <c r="H561" s="33" t="n">
        <v>69</v>
      </c>
      <c r="I561" s="45" t="n">
        <f aca="false">G561*((100-H561)/100)</f>
        <v>22.6424</v>
      </c>
      <c r="J561" s="35"/>
      <c r="K561" s="36" t="n">
        <f aca="false">+F561*J561</f>
        <v>0</v>
      </c>
      <c r="L561" s="37" t="n">
        <f aca="false">I561*K561</f>
        <v>0</v>
      </c>
    </row>
    <row r="562" customFormat="false" ht="15" hidden="false" customHeight="false" outlineLevel="0" collapsed="false">
      <c r="A562" s="32" t="s">
        <v>1137</v>
      </c>
      <c r="B562" s="32" t="s">
        <v>23</v>
      </c>
      <c r="C562" s="32" t="s">
        <v>1138</v>
      </c>
      <c r="D562" s="32" t="s">
        <v>878</v>
      </c>
      <c r="E562" s="33" t="n">
        <v>8430942327941</v>
      </c>
      <c r="F562" s="33" t="n">
        <v>1</v>
      </c>
      <c r="G562" s="34" t="n">
        <v>86.44</v>
      </c>
      <c r="H562" s="33" t="n">
        <v>69</v>
      </c>
      <c r="I562" s="45" t="n">
        <f aca="false">G562*((100-H562)/100)</f>
        <v>26.7964</v>
      </c>
      <c r="J562" s="35"/>
      <c r="K562" s="36" t="n">
        <f aca="false">+F562*J562</f>
        <v>0</v>
      </c>
      <c r="L562" s="37" t="n">
        <f aca="false">I562*K562</f>
        <v>0</v>
      </c>
    </row>
    <row r="563" customFormat="false" ht="15" hidden="false" customHeight="false" outlineLevel="0" collapsed="false">
      <c r="A563" s="32" t="s">
        <v>1139</v>
      </c>
      <c r="B563" s="32" t="s">
        <v>23</v>
      </c>
      <c r="C563" s="32" t="s">
        <v>1140</v>
      </c>
      <c r="D563" s="32" t="s">
        <v>278</v>
      </c>
      <c r="E563" s="33" t="n">
        <v>8430942331597</v>
      </c>
      <c r="F563" s="33" t="n">
        <v>10</v>
      </c>
      <c r="G563" s="34" t="n">
        <v>40.63</v>
      </c>
      <c r="H563" s="33" t="n">
        <v>69</v>
      </c>
      <c r="I563" s="45" t="n">
        <f aca="false">G563*((100-H563)/100)</f>
        <v>12.5953</v>
      </c>
      <c r="J563" s="35"/>
      <c r="K563" s="36" t="n">
        <f aca="false">+F563*J563</f>
        <v>0</v>
      </c>
      <c r="L563" s="37" t="n">
        <f aca="false">I563*K563</f>
        <v>0</v>
      </c>
    </row>
    <row r="564" customFormat="false" ht="15" hidden="false" customHeight="false" outlineLevel="0" collapsed="false">
      <c r="A564" s="32" t="s">
        <v>1141</v>
      </c>
      <c r="B564" s="32" t="s">
        <v>23</v>
      </c>
      <c r="C564" s="32" t="s">
        <v>1142</v>
      </c>
      <c r="D564" s="32" t="s">
        <v>278</v>
      </c>
      <c r="E564" s="33" t="n">
        <v>8430942331610</v>
      </c>
      <c r="F564" s="33" t="n">
        <v>10</v>
      </c>
      <c r="G564" s="34" t="n">
        <v>38.62</v>
      </c>
      <c r="H564" s="33" t="n">
        <v>69</v>
      </c>
      <c r="I564" s="45" t="n">
        <f aca="false">G564*((100-H564)/100)</f>
        <v>11.9722</v>
      </c>
      <c r="J564" s="35"/>
      <c r="K564" s="36" t="n">
        <f aca="false">+F564*J564</f>
        <v>0</v>
      </c>
      <c r="L564" s="37" t="n">
        <f aca="false">I564*K564</f>
        <v>0</v>
      </c>
    </row>
    <row r="565" customFormat="false" ht="15" hidden="false" customHeight="false" outlineLevel="0" collapsed="false">
      <c r="A565" s="32" t="s">
        <v>1143</v>
      </c>
      <c r="B565" s="32" t="s">
        <v>23</v>
      </c>
      <c r="C565" s="32" t="s">
        <v>1144</v>
      </c>
      <c r="D565" s="32" t="s">
        <v>278</v>
      </c>
      <c r="E565" s="33" t="n">
        <v>8430942331634</v>
      </c>
      <c r="F565" s="33" t="n">
        <v>10</v>
      </c>
      <c r="G565" s="34" t="n">
        <v>43.88</v>
      </c>
      <c r="H565" s="33" t="n">
        <v>69</v>
      </c>
      <c r="I565" s="45" t="n">
        <f aca="false">G565*((100-H565)/100)</f>
        <v>13.6028</v>
      </c>
      <c r="J565" s="35"/>
      <c r="K565" s="36" t="n">
        <f aca="false">+F565*J565</f>
        <v>0</v>
      </c>
      <c r="L565" s="37" t="n">
        <f aca="false">I565*K565</f>
        <v>0</v>
      </c>
    </row>
    <row r="566" customFormat="false" ht="15" hidden="false" customHeight="false" outlineLevel="0" collapsed="false">
      <c r="A566" s="32" t="s">
        <v>1145</v>
      </c>
      <c r="B566" s="32" t="s">
        <v>23</v>
      </c>
      <c r="C566" s="32" t="s">
        <v>1146</v>
      </c>
      <c r="D566" s="32" t="s">
        <v>731</v>
      </c>
      <c r="E566" s="33" t="n">
        <v>8430942332303</v>
      </c>
      <c r="F566" s="33" t="n">
        <v>1</v>
      </c>
      <c r="G566" s="34" t="n">
        <v>31.04</v>
      </c>
      <c r="H566" s="33" t="n">
        <v>69</v>
      </c>
      <c r="I566" s="45" t="n">
        <f aca="false">G566*((100-H566)/100)</f>
        <v>9.6224</v>
      </c>
      <c r="J566" s="35"/>
      <c r="K566" s="36" t="n">
        <f aca="false">+F566*J566</f>
        <v>0</v>
      </c>
      <c r="L566" s="37" t="n">
        <f aca="false">I566*K566</f>
        <v>0</v>
      </c>
    </row>
    <row r="567" customFormat="false" ht="15" hidden="false" customHeight="false" outlineLevel="0" collapsed="false">
      <c r="A567" s="32" t="s">
        <v>1147</v>
      </c>
      <c r="B567" s="32" t="s">
        <v>23</v>
      </c>
      <c r="C567" s="32" t="s">
        <v>1148</v>
      </c>
      <c r="D567" s="32" t="s">
        <v>731</v>
      </c>
      <c r="E567" s="33" t="n">
        <v>8430942332310</v>
      </c>
      <c r="F567" s="33" t="n">
        <v>1</v>
      </c>
      <c r="G567" s="34" t="n">
        <v>33.29</v>
      </c>
      <c r="H567" s="33" t="n">
        <v>69</v>
      </c>
      <c r="I567" s="45" t="n">
        <f aca="false">G567*((100-H567)/100)</f>
        <v>10.3199</v>
      </c>
      <c r="J567" s="35"/>
      <c r="K567" s="36" t="n">
        <f aca="false">+F567*J567</f>
        <v>0</v>
      </c>
      <c r="L567" s="37" t="n">
        <f aca="false">I567*K567</f>
        <v>0</v>
      </c>
    </row>
    <row r="568" customFormat="false" ht="15" hidden="false" customHeight="false" outlineLevel="0" collapsed="false">
      <c r="A568" s="32" t="s">
        <v>1149</v>
      </c>
      <c r="B568" s="32" t="s">
        <v>23</v>
      </c>
      <c r="C568" s="32" t="s">
        <v>1150</v>
      </c>
      <c r="D568" s="32" t="s">
        <v>731</v>
      </c>
      <c r="E568" s="33" t="n">
        <v>8430942332327</v>
      </c>
      <c r="F568" s="33" t="n">
        <v>1</v>
      </c>
      <c r="G568" s="34" t="n">
        <v>37.71</v>
      </c>
      <c r="H568" s="33" t="n">
        <v>69</v>
      </c>
      <c r="I568" s="45" t="n">
        <f aca="false">G568*((100-H568)/100)</f>
        <v>11.6901</v>
      </c>
      <c r="J568" s="35"/>
      <c r="K568" s="36" t="n">
        <f aca="false">+F568*J568</f>
        <v>0</v>
      </c>
      <c r="L568" s="37" t="n">
        <f aca="false">I568*K568</f>
        <v>0</v>
      </c>
    </row>
    <row r="569" customFormat="false" ht="15" hidden="false" customHeight="false" outlineLevel="0" collapsed="false">
      <c r="A569" s="32" t="s">
        <v>1151</v>
      </c>
      <c r="B569" s="32" t="s">
        <v>23</v>
      </c>
      <c r="C569" s="32" t="s">
        <v>1152</v>
      </c>
      <c r="D569" s="32" t="s">
        <v>278</v>
      </c>
      <c r="E569" s="33" t="n">
        <v>8430942354466</v>
      </c>
      <c r="F569" s="33" t="n">
        <v>1</v>
      </c>
      <c r="G569" s="34" t="n">
        <v>40.26</v>
      </c>
      <c r="H569" s="33" t="n">
        <v>69</v>
      </c>
      <c r="I569" s="45" t="n">
        <f aca="false">G569*((100-H569)/100)</f>
        <v>12.4806</v>
      </c>
      <c r="J569" s="35"/>
      <c r="K569" s="36" t="n">
        <f aca="false">+F569*J569</f>
        <v>0</v>
      </c>
      <c r="L569" s="37" t="n">
        <f aca="false">I569*K569</f>
        <v>0</v>
      </c>
    </row>
    <row r="570" customFormat="false" ht="15" hidden="false" customHeight="false" outlineLevel="0" collapsed="false">
      <c r="A570" s="32" t="s">
        <v>1153</v>
      </c>
      <c r="B570" s="32" t="s">
        <v>23</v>
      </c>
      <c r="C570" s="32" t="s">
        <v>1154</v>
      </c>
      <c r="D570" s="32" t="s">
        <v>278</v>
      </c>
      <c r="E570" s="33" t="n">
        <v>8430942354473</v>
      </c>
      <c r="F570" s="33" t="n">
        <v>1</v>
      </c>
      <c r="G570" s="34" t="n">
        <v>45.4</v>
      </c>
      <c r="H570" s="33" t="n">
        <v>69</v>
      </c>
      <c r="I570" s="45" t="n">
        <f aca="false">G570*((100-H570)/100)</f>
        <v>14.074</v>
      </c>
      <c r="J570" s="35"/>
      <c r="K570" s="36" t="n">
        <f aca="false">+F570*J570</f>
        <v>0</v>
      </c>
      <c r="L570" s="37" t="n">
        <f aca="false">I570*K570</f>
        <v>0</v>
      </c>
    </row>
    <row r="571" customFormat="false" ht="15" hidden="false" customHeight="false" outlineLevel="0" collapsed="false">
      <c r="A571" s="32" t="s">
        <v>1155</v>
      </c>
      <c r="B571" s="32" t="s">
        <v>23</v>
      </c>
      <c r="C571" s="32" t="s">
        <v>1156</v>
      </c>
      <c r="D571" s="32" t="s">
        <v>278</v>
      </c>
      <c r="E571" s="33" t="n">
        <v>8430942354480</v>
      </c>
      <c r="F571" s="33" t="n">
        <v>1</v>
      </c>
      <c r="G571" s="34" t="n">
        <v>48.51</v>
      </c>
      <c r="H571" s="33" t="n">
        <v>69</v>
      </c>
      <c r="I571" s="45" t="n">
        <f aca="false">G571*((100-H571)/100)</f>
        <v>15.0381</v>
      </c>
      <c r="J571" s="35"/>
      <c r="K571" s="36" t="n">
        <f aca="false">+F571*J571</f>
        <v>0</v>
      </c>
      <c r="L571" s="37" t="n">
        <f aca="false">I571*K571</f>
        <v>0</v>
      </c>
    </row>
    <row r="572" customFormat="false" ht="15" hidden="false" customHeight="false" outlineLevel="0" collapsed="false">
      <c r="A572" s="32" t="s">
        <v>1157</v>
      </c>
      <c r="B572" s="32" t="s">
        <v>23</v>
      </c>
      <c r="C572" s="32" t="s">
        <v>1158</v>
      </c>
      <c r="D572" s="32" t="s">
        <v>278</v>
      </c>
      <c r="E572" s="33" t="n">
        <v>8430942354497</v>
      </c>
      <c r="F572" s="33" t="n">
        <v>1</v>
      </c>
      <c r="G572" s="34" t="n">
        <v>51.85</v>
      </c>
      <c r="H572" s="33" t="n">
        <v>69</v>
      </c>
      <c r="I572" s="45" t="n">
        <f aca="false">G572*((100-H572)/100)</f>
        <v>16.0735</v>
      </c>
      <c r="J572" s="35"/>
      <c r="K572" s="36" t="n">
        <f aca="false">+F572*J572</f>
        <v>0</v>
      </c>
      <c r="L572" s="37" t="n">
        <f aca="false">I572*K572</f>
        <v>0</v>
      </c>
    </row>
    <row r="573" customFormat="false" ht="15" hidden="false" customHeight="false" outlineLevel="0" collapsed="false">
      <c r="A573" s="32" t="s">
        <v>1159</v>
      </c>
      <c r="B573" s="32" t="s">
        <v>23</v>
      </c>
      <c r="C573" s="32" t="s">
        <v>1160</v>
      </c>
      <c r="D573" s="32" t="s">
        <v>278</v>
      </c>
      <c r="E573" s="33" t="n">
        <v>8430942354510</v>
      </c>
      <c r="F573" s="33" t="n">
        <v>1</v>
      </c>
      <c r="G573" s="34" t="n">
        <v>51.85</v>
      </c>
      <c r="H573" s="33" t="n">
        <v>69</v>
      </c>
      <c r="I573" s="45" t="n">
        <f aca="false">G573*((100-H573)/100)</f>
        <v>16.0735</v>
      </c>
      <c r="J573" s="35"/>
      <c r="K573" s="36" t="n">
        <f aca="false">+F573*J573</f>
        <v>0</v>
      </c>
      <c r="L573" s="37" t="n">
        <f aca="false">I573*K573</f>
        <v>0</v>
      </c>
    </row>
    <row r="574" customFormat="false" ht="15" hidden="false" customHeight="false" outlineLevel="0" collapsed="false">
      <c r="A574" s="32" t="s">
        <v>1161</v>
      </c>
      <c r="B574" s="32" t="s">
        <v>23</v>
      </c>
      <c r="C574" s="32" t="s">
        <v>1162</v>
      </c>
      <c r="D574" s="32" t="s">
        <v>278</v>
      </c>
      <c r="E574" s="33" t="n">
        <v>8430942354527</v>
      </c>
      <c r="F574" s="33" t="n">
        <v>1</v>
      </c>
      <c r="G574" s="34" t="n">
        <v>58.86</v>
      </c>
      <c r="H574" s="33" t="n">
        <v>69</v>
      </c>
      <c r="I574" s="45" t="n">
        <f aca="false">G574*((100-H574)/100)</f>
        <v>18.2466</v>
      </c>
      <c r="J574" s="35"/>
      <c r="K574" s="36" t="n">
        <f aca="false">+F574*J574</f>
        <v>0</v>
      </c>
      <c r="L574" s="37" t="n">
        <f aca="false">I574*K574</f>
        <v>0</v>
      </c>
    </row>
    <row r="575" customFormat="false" ht="15" hidden="false" customHeight="false" outlineLevel="0" collapsed="false">
      <c r="A575" s="32" t="s">
        <v>1163</v>
      </c>
      <c r="B575" s="32" t="s">
        <v>23</v>
      </c>
      <c r="C575" s="32" t="s">
        <v>1164</v>
      </c>
      <c r="D575" s="32" t="s">
        <v>240</v>
      </c>
      <c r="E575" s="33" t="n">
        <v>8430942326265</v>
      </c>
      <c r="F575" s="33" t="n">
        <v>1</v>
      </c>
      <c r="G575" s="34" t="n">
        <v>23.4</v>
      </c>
      <c r="H575" s="33" t="n">
        <v>69</v>
      </c>
      <c r="I575" s="45" t="n">
        <f aca="false">G575*((100-H575)/100)</f>
        <v>7.254</v>
      </c>
      <c r="J575" s="35"/>
      <c r="K575" s="36" t="n">
        <f aca="false">+F575*J575</f>
        <v>0</v>
      </c>
      <c r="L575" s="37" t="n">
        <f aca="false">I575*K575</f>
        <v>0</v>
      </c>
    </row>
    <row r="576" customFormat="false" ht="15" hidden="false" customHeight="false" outlineLevel="0" collapsed="false">
      <c r="A576" s="32" t="s">
        <v>1165</v>
      </c>
      <c r="B576" s="32" t="s">
        <v>23</v>
      </c>
      <c r="C576" s="32" t="s">
        <v>1166</v>
      </c>
      <c r="D576" s="32" t="s">
        <v>240</v>
      </c>
      <c r="E576" s="33" t="n">
        <v>8430942326289</v>
      </c>
      <c r="F576" s="33" t="n">
        <v>1</v>
      </c>
      <c r="G576" s="34" t="n">
        <v>23.99</v>
      </c>
      <c r="H576" s="33" t="n">
        <v>69</v>
      </c>
      <c r="I576" s="45" t="n">
        <f aca="false">G576*((100-H576)/100)</f>
        <v>7.4369</v>
      </c>
      <c r="J576" s="35"/>
      <c r="K576" s="36" t="n">
        <f aca="false">+F576*J576</f>
        <v>0</v>
      </c>
      <c r="L576" s="37" t="n">
        <f aca="false">I576*K576</f>
        <v>0</v>
      </c>
    </row>
    <row r="577" customFormat="false" ht="15" hidden="false" customHeight="false" outlineLevel="0" collapsed="false">
      <c r="A577" s="32" t="s">
        <v>1167</v>
      </c>
      <c r="B577" s="32" t="s">
        <v>23</v>
      </c>
      <c r="C577" s="32" t="s">
        <v>1168</v>
      </c>
      <c r="D577" s="32" t="s">
        <v>240</v>
      </c>
      <c r="E577" s="33" t="n">
        <v>8430942326296</v>
      </c>
      <c r="F577" s="33" t="n">
        <v>1</v>
      </c>
      <c r="G577" s="34" t="n">
        <v>26.34</v>
      </c>
      <c r="H577" s="33" t="n">
        <v>69</v>
      </c>
      <c r="I577" s="45" t="n">
        <f aca="false">G577*((100-H577)/100)</f>
        <v>8.1654</v>
      </c>
      <c r="J577" s="35"/>
      <c r="K577" s="36" t="n">
        <f aca="false">+F577*J577</f>
        <v>0</v>
      </c>
      <c r="L577" s="37" t="n">
        <f aca="false">I577*K577</f>
        <v>0</v>
      </c>
    </row>
    <row r="578" customFormat="false" ht="15" hidden="false" customHeight="false" outlineLevel="0" collapsed="false">
      <c r="A578" s="32" t="s">
        <v>1169</v>
      </c>
      <c r="B578" s="32" t="s">
        <v>23</v>
      </c>
      <c r="C578" s="32" t="s">
        <v>1170</v>
      </c>
      <c r="D578" s="32" t="s">
        <v>240</v>
      </c>
      <c r="E578" s="33" t="n">
        <v>8430942326319</v>
      </c>
      <c r="F578" s="33" t="n">
        <v>1</v>
      </c>
      <c r="G578" s="34" t="n">
        <v>27.51</v>
      </c>
      <c r="H578" s="33" t="n">
        <v>69</v>
      </c>
      <c r="I578" s="45" t="n">
        <f aca="false">G578*((100-H578)/100)</f>
        <v>8.5281</v>
      </c>
      <c r="J578" s="35"/>
      <c r="K578" s="36" t="n">
        <f aca="false">+F578*J578</f>
        <v>0</v>
      </c>
      <c r="L578" s="37" t="n">
        <f aca="false">I578*K578</f>
        <v>0</v>
      </c>
    </row>
    <row r="579" customFormat="false" ht="15" hidden="false" customHeight="false" outlineLevel="0" collapsed="false">
      <c r="A579" s="32" t="s">
        <v>1171</v>
      </c>
      <c r="B579" s="32" t="s">
        <v>23</v>
      </c>
      <c r="C579" s="32" t="s">
        <v>1172</v>
      </c>
      <c r="D579" s="32" t="s">
        <v>240</v>
      </c>
      <c r="E579" s="33" t="n">
        <v>8430942326326</v>
      </c>
      <c r="F579" s="33" t="n">
        <v>1</v>
      </c>
      <c r="G579" s="34" t="n">
        <v>28.92</v>
      </c>
      <c r="H579" s="33" t="n">
        <v>69</v>
      </c>
      <c r="I579" s="45" t="n">
        <f aca="false">G579*((100-H579)/100)</f>
        <v>8.9652</v>
      </c>
      <c r="J579" s="35"/>
      <c r="K579" s="36" t="n">
        <f aca="false">+F579*J579</f>
        <v>0</v>
      </c>
      <c r="L579" s="37" t="n">
        <f aca="false">I579*K579</f>
        <v>0</v>
      </c>
    </row>
    <row r="580" customFormat="false" ht="15" hidden="false" customHeight="false" outlineLevel="0" collapsed="false">
      <c r="A580" s="32" t="s">
        <v>1173</v>
      </c>
      <c r="B580" s="32" t="s">
        <v>23</v>
      </c>
      <c r="C580" s="32" t="s">
        <v>1174</v>
      </c>
      <c r="D580" s="32" t="s">
        <v>240</v>
      </c>
      <c r="E580" s="33" t="n">
        <v>8430942326333</v>
      </c>
      <c r="F580" s="33" t="n">
        <v>1</v>
      </c>
      <c r="G580" s="34" t="n">
        <v>33.94</v>
      </c>
      <c r="H580" s="33" t="n">
        <v>69</v>
      </c>
      <c r="I580" s="45" t="n">
        <f aca="false">G580*((100-H580)/100)</f>
        <v>10.5214</v>
      </c>
      <c r="J580" s="35"/>
      <c r="K580" s="36" t="n">
        <f aca="false">+F580*J580</f>
        <v>0</v>
      </c>
      <c r="L580" s="37" t="n">
        <f aca="false">I580*K580</f>
        <v>0</v>
      </c>
    </row>
    <row r="581" customFormat="false" ht="15" hidden="false" customHeight="false" outlineLevel="0" collapsed="false">
      <c r="A581" s="32" t="s">
        <v>1175</v>
      </c>
      <c r="B581" s="32" t="s">
        <v>23</v>
      </c>
      <c r="C581" s="32" t="s">
        <v>1176</v>
      </c>
      <c r="D581" s="32" t="s">
        <v>240</v>
      </c>
      <c r="E581" s="33" t="n">
        <v>8430942326340</v>
      </c>
      <c r="F581" s="33" t="n">
        <v>1</v>
      </c>
      <c r="G581" s="34" t="n">
        <v>37.46</v>
      </c>
      <c r="H581" s="33" t="n">
        <v>69</v>
      </c>
      <c r="I581" s="45" t="n">
        <f aca="false">G581*((100-H581)/100)</f>
        <v>11.6126</v>
      </c>
      <c r="J581" s="35"/>
      <c r="K581" s="36" t="n">
        <f aca="false">+F581*J581</f>
        <v>0</v>
      </c>
      <c r="L581" s="37" t="n">
        <f aca="false">I581*K581</f>
        <v>0</v>
      </c>
    </row>
    <row r="582" customFormat="false" ht="15" hidden="false" customHeight="false" outlineLevel="0" collapsed="false">
      <c r="A582" s="32" t="s">
        <v>1177</v>
      </c>
      <c r="B582" s="32" t="s">
        <v>23</v>
      </c>
      <c r="C582" s="32" t="s">
        <v>1178</v>
      </c>
      <c r="D582" s="32" t="s">
        <v>588</v>
      </c>
      <c r="E582" s="33" t="n">
        <v>8430942326166</v>
      </c>
      <c r="F582" s="33" t="n">
        <v>1</v>
      </c>
      <c r="G582" s="34" t="n">
        <v>14.25</v>
      </c>
      <c r="H582" s="33" t="n">
        <v>69</v>
      </c>
      <c r="I582" s="45" t="n">
        <f aca="false">G582*((100-H582)/100)</f>
        <v>4.4175</v>
      </c>
      <c r="J582" s="35"/>
      <c r="K582" s="36" t="n">
        <f aca="false">+F582*J582</f>
        <v>0</v>
      </c>
      <c r="L582" s="37" t="n">
        <f aca="false">I582*K582</f>
        <v>0</v>
      </c>
    </row>
    <row r="583" customFormat="false" ht="15" hidden="false" customHeight="false" outlineLevel="0" collapsed="false">
      <c r="A583" s="32" t="s">
        <v>1179</v>
      </c>
      <c r="B583" s="32" t="s">
        <v>23</v>
      </c>
      <c r="C583" s="32" t="s">
        <v>1180</v>
      </c>
      <c r="D583" s="32" t="s">
        <v>588</v>
      </c>
      <c r="E583" s="33" t="n">
        <v>8430942326173</v>
      </c>
      <c r="F583" s="33" t="n">
        <v>1</v>
      </c>
      <c r="G583" s="34" t="n">
        <v>15.76</v>
      </c>
      <c r="H583" s="33" t="n">
        <v>69</v>
      </c>
      <c r="I583" s="45" t="n">
        <f aca="false">G583*((100-H583)/100)</f>
        <v>4.8856</v>
      </c>
      <c r="J583" s="35"/>
      <c r="K583" s="36" t="n">
        <f aca="false">+F583*J583</f>
        <v>0</v>
      </c>
      <c r="L583" s="37" t="n">
        <f aca="false">I583*K583</f>
        <v>0</v>
      </c>
    </row>
    <row r="584" customFormat="false" ht="15" hidden="false" customHeight="false" outlineLevel="0" collapsed="false">
      <c r="A584" s="32" t="s">
        <v>1181</v>
      </c>
      <c r="B584" s="32" t="s">
        <v>23</v>
      </c>
      <c r="C584" s="32" t="s">
        <v>1182</v>
      </c>
      <c r="D584" s="32" t="s">
        <v>588</v>
      </c>
      <c r="E584" s="33" t="n">
        <v>8430942326180</v>
      </c>
      <c r="F584" s="33" t="n">
        <v>1</v>
      </c>
      <c r="G584" s="34" t="n">
        <v>15.76</v>
      </c>
      <c r="H584" s="33" t="n">
        <v>69</v>
      </c>
      <c r="I584" s="45" t="n">
        <f aca="false">G584*((100-H584)/100)</f>
        <v>4.8856</v>
      </c>
      <c r="J584" s="35"/>
      <c r="K584" s="36" t="n">
        <f aca="false">+F584*J584</f>
        <v>0</v>
      </c>
      <c r="L584" s="37" t="n">
        <f aca="false">I584*K584</f>
        <v>0</v>
      </c>
    </row>
    <row r="585" customFormat="false" ht="15" hidden="false" customHeight="false" outlineLevel="0" collapsed="false">
      <c r="A585" s="32" t="s">
        <v>1183</v>
      </c>
      <c r="B585" s="32" t="s">
        <v>23</v>
      </c>
      <c r="C585" s="32" t="s">
        <v>1184</v>
      </c>
      <c r="D585" s="32" t="s">
        <v>588</v>
      </c>
      <c r="E585" s="33" t="n">
        <v>8430942326197</v>
      </c>
      <c r="F585" s="33" t="n">
        <v>1</v>
      </c>
      <c r="G585" s="34" t="n">
        <v>17.28</v>
      </c>
      <c r="H585" s="33" t="n">
        <v>69</v>
      </c>
      <c r="I585" s="45" t="n">
        <f aca="false">G585*((100-H585)/100)</f>
        <v>5.3568</v>
      </c>
      <c r="J585" s="35"/>
      <c r="K585" s="36" t="n">
        <f aca="false">+F585*J585</f>
        <v>0</v>
      </c>
      <c r="L585" s="37" t="n">
        <f aca="false">I585*K585</f>
        <v>0</v>
      </c>
    </row>
    <row r="586" customFormat="false" ht="15" hidden="false" customHeight="false" outlineLevel="0" collapsed="false">
      <c r="A586" s="32" t="s">
        <v>1185</v>
      </c>
      <c r="B586" s="32" t="s">
        <v>23</v>
      </c>
      <c r="C586" s="32" t="s">
        <v>1186</v>
      </c>
      <c r="D586" s="32" t="s">
        <v>588</v>
      </c>
      <c r="E586" s="33" t="n">
        <v>8430942326203</v>
      </c>
      <c r="F586" s="33" t="n">
        <v>1</v>
      </c>
      <c r="G586" s="34" t="n">
        <v>18.19</v>
      </c>
      <c r="H586" s="33" t="n">
        <v>69</v>
      </c>
      <c r="I586" s="45" t="n">
        <f aca="false">G586*((100-H586)/100)</f>
        <v>5.6389</v>
      </c>
      <c r="J586" s="35"/>
      <c r="K586" s="36" t="n">
        <f aca="false">+F586*J586</f>
        <v>0</v>
      </c>
      <c r="L586" s="37" t="n">
        <f aca="false">I586*K586</f>
        <v>0</v>
      </c>
    </row>
    <row r="587" customFormat="false" ht="15" hidden="false" customHeight="false" outlineLevel="0" collapsed="false">
      <c r="A587" s="32" t="s">
        <v>1187</v>
      </c>
      <c r="B587" s="32" t="s">
        <v>23</v>
      </c>
      <c r="C587" s="32" t="s">
        <v>1188</v>
      </c>
      <c r="D587" s="32" t="s">
        <v>588</v>
      </c>
      <c r="E587" s="33" t="n">
        <v>8430942326210</v>
      </c>
      <c r="F587" s="33" t="n">
        <v>1</v>
      </c>
      <c r="G587" s="34" t="n">
        <v>18.67</v>
      </c>
      <c r="H587" s="33" t="n">
        <v>69</v>
      </c>
      <c r="I587" s="45" t="n">
        <f aca="false">G587*((100-H587)/100)</f>
        <v>5.7877</v>
      </c>
      <c r="J587" s="35"/>
      <c r="K587" s="36" t="n">
        <f aca="false">+F587*J587</f>
        <v>0</v>
      </c>
      <c r="L587" s="37" t="n">
        <f aca="false">I587*K587</f>
        <v>0</v>
      </c>
    </row>
    <row r="588" customFormat="false" ht="15" hidden="false" customHeight="false" outlineLevel="0" collapsed="false">
      <c r="A588" s="32" t="s">
        <v>1189</v>
      </c>
      <c r="B588" s="32" t="s">
        <v>23</v>
      </c>
      <c r="C588" s="32" t="s">
        <v>1190</v>
      </c>
      <c r="D588" s="32" t="s">
        <v>588</v>
      </c>
      <c r="E588" s="33" t="n">
        <v>8430942326227</v>
      </c>
      <c r="F588" s="33" t="n">
        <v>1</v>
      </c>
      <c r="G588" s="34" t="n">
        <v>19.82</v>
      </c>
      <c r="H588" s="33" t="n">
        <v>69</v>
      </c>
      <c r="I588" s="45" t="n">
        <f aca="false">G588*((100-H588)/100)</f>
        <v>6.1442</v>
      </c>
      <c r="J588" s="35"/>
      <c r="K588" s="36" t="n">
        <f aca="false">+F588*J588</f>
        <v>0</v>
      </c>
      <c r="L588" s="37" t="n">
        <f aca="false">I588*K588</f>
        <v>0</v>
      </c>
    </row>
    <row r="589" customFormat="false" ht="15" hidden="false" customHeight="false" outlineLevel="0" collapsed="false">
      <c r="A589" s="32" t="s">
        <v>1191</v>
      </c>
      <c r="B589" s="32" t="s">
        <v>23</v>
      </c>
      <c r="C589" s="32" t="s">
        <v>1192</v>
      </c>
      <c r="D589" s="32" t="s">
        <v>758</v>
      </c>
      <c r="E589" s="33" t="n">
        <v>8430942326388</v>
      </c>
      <c r="F589" s="33" t="n">
        <v>1</v>
      </c>
      <c r="G589" s="34" t="n">
        <v>7.32</v>
      </c>
      <c r="H589" s="33" t="n">
        <v>69</v>
      </c>
      <c r="I589" s="45" t="n">
        <f aca="false">G589*((100-H589)/100)</f>
        <v>2.2692</v>
      </c>
      <c r="J589" s="35"/>
      <c r="K589" s="36" t="n">
        <f aca="false">+F589*J589</f>
        <v>0</v>
      </c>
      <c r="L589" s="37" t="n">
        <f aca="false">I589*K589</f>
        <v>0</v>
      </c>
    </row>
    <row r="590" customFormat="false" ht="15" hidden="false" customHeight="false" outlineLevel="0" collapsed="false">
      <c r="A590" s="32" t="s">
        <v>1193</v>
      </c>
      <c r="B590" s="32" t="s">
        <v>23</v>
      </c>
      <c r="C590" s="32" t="s">
        <v>1194</v>
      </c>
      <c r="D590" s="32" t="s">
        <v>1195</v>
      </c>
      <c r="E590" s="33" t="n">
        <v>8430942326401</v>
      </c>
      <c r="F590" s="33" t="n">
        <v>1</v>
      </c>
      <c r="G590" s="34" t="n">
        <v>7.95</v>
      </c>
      <c r="H590" s="33" t="n">
        <v>69</v>
      </c>
      <c r="I590" s="45" t="n">
        <f aca="false">G590*((100-H590)/100)</f>
        <v>2.4645</v>
      </c>
      <c r="J590" s="35"/>
      <c r="K590" s="36" t="n">
        <f aca="false">+F590*J590</f>
        <v>0</v>
      </c>
      <c r="L590" s="37" t="n">
        <f aca="false">I590*K590</f>
        <v>0</v>
      </c>
    </row>
    <row r="591" customFormat="false" ht="15" hidden="false" customHeight="false" outlineLevel="0" collapsed="false">
      <c r="A591" s="32" t="s">
        <v>1196</v>
      </c>
      <c r="B591" s="32" t="s">
        <v>23</v>
      </c>
      <c r="C591" s="32" t="s">
        <v>1197</v>
      </c>
      <c r="D591" s="32" t="s">
        <v>758</v>
      </c>
      <c r="E591" s="33" t="n">
        <v>8430942326418</v>
      </c>
      <c r="F591" s="33" t="n">
        <v>1</v>
      </c>
      <c r="G591" s="34" t="n">
        <v>8.17</v>
      </c>
      <c r="H591" s="33" t="n">
        <v>69</v>
      </c>
      <c r="I591" s="45" t="n">
        <f aca="false">G591*((100-H591)/100)</f>
        <v>2.5327</v>
      </c>
      <c r="J591" s="35"/>
      <c r="K591" s="36" t="n">
        <f aca="false">+F591*J591</f>
        <v>0</v>
      </c>
      <c r="L591" s="37" t="n">
        <f aca="false">I591*K591</f>
        <v>0</v>
      </c>
    </row>
    <row r="592" customFormat="false" ht="15" hidden="false" customHeight="false" outlineLevel="0" collapsed="false">
      <c r="A592" s="32" t="s">
        <v>1198</v>
      </c>
      <c r="B592" s="32" t="s">
        <v>23</v>
      </c>
      <c r="C592" s="32" t="s">
        <v>1199</v>
      </c>
      <c r="D592" s="32" t="s">
        <v>758</v>
      </c>
      <c r="E592" s="33" t="n">
        <v>8430942326432</v>
      </c>
      <c r="F592" s="33" t="n">
        <v>1</v>
      </c>
      <c r="G592" s="34" t="n">
        <v>8.34</v>
      </c>
      <c r="H592" s="33" t="n">
        <v>69</v>
      </c>
      <c r="I592" s="45" t="n">
        <f aca="false">G592*((100-H592)/100)</f>
        <v>2.5854</v>
      </c>
      <c r="J592" s="35"/>
      <c r="K592" s="36" t="n">
        <f aca="false">+F592*J592</f>
        <v>0</v>
      </c>
      <c r="L592" s="37" t="n">
        <f aca="false">I592*K592</f>
        <v>0</v>
      </c>
    </row>
    <row r="593" customFormat="false" ht="15" hidden="false" customHeight="false" outlineLevel="0" collapsed="false">
      <c r="A593" s="32" t="s">
        <v>1200</v>
      </c>
      <c r="B593" s="32" t="s">
        <v>23</v>
      </c>
      <c r="C593" s="32" t="s">
        <v>1201</v>
      </c>
      <c r="D593" s="32" t="s">
        <v>758</v>
      </c>
      <c r="E593" s="33" t="n">
        <v>8430942326449</v>
      </c>
      <c r="F593" s="33" t="n">
        <v>1</v>
      </c>
      <c r="G593" s="34" t="n">
        <v>8.44</v>
      </c>
      <c r="H593" s="33" t="n">
        <v>69</v>
      </c>
      <c r="I593" s="45" t="n">
        <f aca="false">G593*((100-H593)/100)</f>
        <v>2.6164</v>
      </c>
      <c r="J593" s="35"/>
      <c r="K593" s="36" t="n">
        <f aca="false">+F593*J593</f>
        <v>0</v>
      </c>
      <c r="L593" s="37" t="n">
        <f aca="false">I593*K593</f>
        <v>0</v>
      </c>
    </row>
    <row r="594" customFormat="false" ht="15" hidden="false" customHeight="false" outlineLevel="0" collapsed="false">
      <c r="A594" s="32" t="s">
        <v>1202</v>
      </c>
      <c r="B594" s="32" t="s">
        <v>23</v>
      </c>
      <c r="C594" s="32" t="s">
        <v>1203</v>
      </c>
      <c r="D594" s="32" t="s">
        <v>758</v>
      </c>
      <c r="E594" s="33" t="n">
        <v>8430942326456</v>
      </c>
      <c r="F594" s="33" t="n">
        <v>1</v>
      </c>
      <c r="G594" s="34" t="n">
        <v>9.81</v>
      </c>
      <c r="H594" s="33" t="n">
        <v>69</v>
      </c>
      <c r="I594" s="45" t="n">
        <f aca="false">G594*((100-H594)/100)</f>
        <v>3.0411</v>
      </c>
      <c r="J594" s="35"/>
      <c r="K594" s="36" t="n">
        <f aca="false">+F594*J594</f>
        <v>0</v>
      </c>
      <c r="L594" s="37" t="n">
        <f aca="false">I594*K594</f>
        <v>0</v>
      </c>
    </row>
    <row r="595" customFormat="false" ht="15" hidden="false" customHeight="false" outlineLevel="0" collapsed="false">
      <c r="A595" s="32" t="s">
        <v>1204</v>
      </c>
      <c r="B595" s="32" t="s">
        <v>23</v>
      </c>
      <c r="C595" s="32" t="s">
        <v>1205</v>
      </c>
      <c r="D595" s="32" t="s">
        <v>758</v>
      </c>
      <c r="E595" s="33" t="n">
        <v>8430942326463</v>
      </c>
      <c r="F595" s="33" t="n">
        <v>1</v>
      </c>
      <c r="G595" s="34" t="n">
        <v>10.26</v>
      </c>
      <c r="H595" s="33" t="n">
        <v>69</v>
      </c>
      <c r="I595" s="45" t="n">
        <f aca="false">G595*((100-H595)/100)</f>
        <v>3.1806</v>
      </c>
      <c r="J595" s="35"/>
      <c r="K595" s="36" t="n">
        <f aca="false">+F595*J595</f>
        <v>0</v>
      </c>
      <c r="L595" s="37" t="n">
        <f aca="false">I595*K595</f>
        <v>0</v>
      </c>
    </row>
    <row r="596" customFormat="false" ht="15" hidden="false" customHeight="false" outlineLevel="0" collapsed="false">
      <c r="A596" s="32" t="s">
        <v>1206</v>
      </c>
      <c r="B596" s="32" t="s">
        <v>23</v>
      </c>
      <c r="C596" s="32" t="s">
        <v>1207</v>
      </c>
      <c r="D596" s="32" t="s">
        <v>1208</v>
      </c>
      <c r="E596" s="33" t="n">
        <v>8430942326500</v>
      </c>
      <c r="F596" s="33" t="n">
        <v>1</v>
      </c>
      <c r="G596" s="34" t="n">
        <v>25.31</v>
      </c>
      <c r="H596" s="33" t="n">
        <v>69</v>
      </c>
      <c r="I596" s="45" t="n">
        <f aca="false">G596*((100-H596)/100)</f>
        <v>7.8461</v>
      </c>
      <c r="J596" s="35"/>
      <c r="K596" s="36" t="n">
        <f aca="false">+F596*J596</f>
        <v>0</v>
      </c>
      <c r="L596" s="37" t="n">
        <f aca="false">I596*K596</f>
        <v>0</v>
      </c>
    </row>
    <row r="597" customFormat="false" ht="15" hidden="false" customHeight="false" outlineLevel="0" collapsed="false">
      <c r="A597" s="32" t="s">
        <v>1209</v>
      </c>
      <c r="B597" s="32" t="s">
        <v>23</v>
      </c>
      <c r="C597" s="32" t="s">
        <v>1210</v>
      </c>
      <c r="D597" s="32" t="s">
        <v>1208</v>
      </c>
      <c r="E597" s="33" t="n">
        <v>8430942326517</v>
      </c>
      <c r="F597" s="33" t="n">
        <v>1</v>
      </c>
      <c r="G597" s="34" t="n">
        <v>26.01</v>
      </c>
      <c r="H597" s="33" t="n">
        <v>69</v>
      </c>
      <c r="I597" s="45" t="n">
        <f aca="false">G597*((100-H597)/100)</f>
        <v>8.0631</v>
      </c>
      <c r="J597" s="35"/>
      <c r="K597" s="36" t="n">
        <f aca="false">+F597*J597</f>
        <v>0</v>
      </c>
      <c r="L597" s="37" t="n">
        <f aca="false">I597*K597</f>
        <v>0</v>
      </c>
    </row>
    <row r="598" customFormat="false" ht="15" hidden="false" customHeight="false" outlineLevel="0" collapsed="false">
      <c r="A598" s="32" t="s">
        <v>1211</v>
      </c>
      <c r="B598" s="32" t="s">
        <v>23</v>
      </c>
      <c r="C598" s="32" t="s">
        <v>1212</v>
      </c>
      <c r="D598" s="32" t="s">
        <v>1208</v>
      </c>
      <c r="E598" s="33" t="n">
        <v>8430942326524</v>
      </c>
      <c r="F598" s="33" t="n">
        <v>1</v>
      </c>
      <c r="G598" s="34" t="n">
        <v>28.32</v>
      </c>
      <c r="H598" s="33" t="n">
        <v>69</v>
      </c>
      <c r="I598" s="45" t="n">
        <f aca="false">G598*((100-H598)/100)</f>
        <v>8.7792</v>
      </c>
      <c r="J598" s="35"/>
      <c r="K598" s="36" t="n">
        <f aca="false">+F598*J598</f>
        <v>0</v>
      </c>
      <c r="L598" s="37" t="n">
        <f aca="false">I598*K598</f>
        <v>0</v>
      </c>
    </row>
    <row r="599" customFormat="false" ht="15" hidden="false" customHeight="false" outlineLevel="0" collapsed="false">
      <c r="A599" s="32" t="s">
        <v>1213</v>
      </c>
      <c r="B599" s="32" t="s">
        <v>23</v>
      </c>
      <c r="C599" s="32" t="s">
        <v>1214</v>
      </c>
      <c r="D599" s="32" t="s">
        <v>1208</v>
      </c>
      <c r="E599" s="33" t="n">
        <v>8430942326548</v>
      </c>
      <c r="F599" s="33" t="n">
        <v>1</v>
      </c>
      <c r="G599" s="34" t="n">
        <v>30.19</v>
      </c>
      <c r="H599" s="33" t="n">
        <v>69</v>
      </c>
      <c r="I599" s="45" t="n">
        <f aca="false">G599*((100-H599)/100)</f>
        <v>9.3589</v>
      </c>
      <c r="J599" s="35"/>
      <c r="K599" s="36" t="n">
        <f aca="false">+F599*J599</f>
        <v>0</v>
      </c>
      <c r="L599" s="37" t="n">
        <f aca="false">I599*K599</f>
        <v>0</v>
      </c>
    </row>
    <row r="600" customFormat="false" ht="15" hidden="false" customHeight="false" outlineLevel="0" collapsed="false">
      <c r="A600" s="32" t="s">
        <v>1215</v>
      </c>
      <c r="B600" s="32" t="s">
        <v>23</v>
      </c>
      <c r="C600" s="32" t="s">
        <v>1216</v>
      </c>
      <c r="D600" s="32" t="s">
        <v>1208</v>
      </c>
      <c r="E600" s="33" t="n">
        <v>8430942326555</v>
      </c>
      <c r="F600" s="33" t="n">
        <v>1</v>
      </c>
      <c r="G600" s="34" t="n">
        <v>30.19</v>
      </c>
      <c r="H600" s="33" t="n">
        <v>69</v>
      </c>
      <c r="I600" s="45" t="n">
        <f aca="false">G600*((100-H600)/100)</f>
        <v>9.3589</v>
      </c>
      <c r="J600" s="35"/>
      <c r="K600" s="36" t="n">
        <f aca="false">+F600*J600</f>
        <v>0</v>
      </c>
      <c r="L600" s="37" t="n">
        <f aca="false">I600*K600</f>
        <v>0</v>
      </c>
    </row>
    <row r="601" customFormat="false" ht="15" hidden="false" customHeight="false" outlineLevel="0" collapsed="false">
      <c r="A601" s="32" t="s">
        <v>1217</v>
      </c>
      <c r="B601" s="32" t="s">
        <v>23</v>
      </c>
      <c r="C601" s="32" t="s">
        <v>1218</v>
      </c>
      <c r="D601" s="32" t="s">
        <v>1208</v>
      </c>
      <c r="E601" s="33" t="n">
        <v>8430942326562</v>
      </c>
      <c r="F601" s="33" t="n">
        <v>1</v>
      </c>
      <c r="G601" s="34" t="n">
        <v>32.05</v>
      </c>
      <c r="H601" s="33" t="n">
        <v>69</v>
      </c>
      <c r="I601" s="45" t="n">
        <f aca="false">G601*((100-H601)/100)</f>
        <v>9.9355</v>
      </c>
      <c r="J601" s="35"/>
      <c r="K601" s="36" t="n">
        <f aca="false">+F601*J601</f>
        <v>0</v>
      </c>
      <c r="L601" s="37" t="n">
        <f aca="false">I601*K601</f>
        <v>0</v>
      </c>
    </row>
    <row r="602" customFormat="false" ht="15" hidden="false" customHeight="false" outlineLevel="0" collapsed="false">
      <c r="A602" s="32" t="s">
        <v>1219</v>
      </c>
      <c r="B602" s="32" t="s">
        <v>23</v>
      </c>
      <c r="C602" s="32" t="s">
        <v>1220</v>
      </c>
      <c r="D602" s="32" t="s">
        <v>1208</v>
      </c>
      <c r="E602" s="33" t="n">
        <v>8430942326579</v>
      </c>
      <c r="F602" s="33" t="n">
        <v>1</v>
      </c>
      <c r="G602" s="34" t="n">
        <v>33.9</v>
      </c>
      <c r="H602" s="33" t="n">
        <v>69</v>
      </c>
      <c r="I602" s="45" t="n">
        <f aca="false">G602*((100-H602)/100)</f>
        <v>10.509</v>
      </c>
      <c r="J602" s="35"/>
      <c r="K602" s="36" t="n">
        <f aca="false">+F602*J602</f>
        <v>0</v>
      </c>
      <c r="L602" s="37" t="n">
        <f aca="false">I602*K602</f>
        <v>0</v>
      </c>
    </row>
    <row r="603" customFormat="false" ht="15" hidden="false" customHeight="false" outlineLevel="0" collapsed="false">
      <c r="A603" s="32" t="s">
        <v>1221</v>
      </c>
      <c r="B603" s="32" t="s">
        <v>23</v>
      </c>
      <c r="C603" s="32" t="s">
        <v>1222</v>
      </c>
      <c r="D603" s="32" t="s">
        <v>1223</v>
      </c>
      <c r="E603" s="33" t="n">
        <v>8430942354589</v>
      </c>
      <c r="F603" s="33" t="n">
        <v>1</v>
      </c>
      <c r="G603" s="34" t="n">
        <v>32.4</v>
      </c>
      <c r="H603" s="33" t="n">
        <v>69</v>
      </c>
      <c r="I603" s="45" t="n">
        <f aca="false">G603*((100-H603)/100)</f>
        <v>10.044</v>
      </c>
      <c r="J603" s="35"/>
      <c r="K603" s="36" t="n">
        <f aca="false">+F603*J603</f>
        <v>0</v>
      </c>
      <c r="L603" s="37" t="n">
        <f aca="false">I603*K603</f>
        <v>0</v>
      </c>
    </row>
    <row r="604" customFormat="false" ht="15" hidden="false" customHeight="false" outlineLevel="0" collapsed="false">
      <c r="A604" s="32" t="s">
        <v>1224</v>
      </c>
      <c r="B604" s="32" t="s">
        <v>23</v>
      </c>
      <c r="C604" s="32" t="s">
        <v>1225</v>
      </c>
      <c r="D604" s="32" t="s">
        <v>1223</v>
      </c>
      <c r="E604" s="33" t="n">
        <v>8430942354596</v>
      </c>
      <c r="F604" s="33" t="n">
        <v>1</v>
      </c>
      <c r="G604" s="34" t="n">
        <v>34.19</v>
      </c>
      <c r="H604" s="33" t="n">
        <v>69</v>
      </c>
      <c r="I604" s="45" t="n">
        <f aca="false">G604*((100-H604)/100)</f>
        <v>10.5989</v>
      </c>
      <c r="J604" s="35"/>
      <c r="K604" s="36" t="n">
        <f aca="false">+F604*J604</f>
        <v>0</v>
      </c>
      <c r="L604" s="37" t="n">
        <f aca="false">I604*K604</f>
        <v>0</v>
      </c>
    </row>
    <row r="605" customFormat="false" ht="15" hidden="false" customHeight="false" outlineLevel="0" collapsed="false">
      <c r="A605" s="32" t="s">
        <v>1226</v>
      </c>
      <c r="B605" s="32" t="s">
        <v>23</v>
      </c>
      <c r="C605" s="32" t="s">
        <v>1227</v>
      </c>
      <c r="D605" s="32" t="s">
        <v>1223</v>
      </c>
      <c r="E605" s="33" t="n">
        <v>8430942354602</v>
      </c>
      <c r="F605" s="33" t="n">
        <v>1</v>
      </c>
      <c r="G605" s="34" t="n">
        <v>37.77</v>
      </c>
      <c r="H605" s="33" t="n">
        <v>69</v>
      </c>
      <c r="I605" s="45" t="n">
        <f aca="false">G605*((100-H605)/100)</f>
        <v>11.7087</v>
      </c>
      <c r="J605" s="35"/>
      <c r="K605" s="36" t="n">
        <f aca="false">+F605*J605</f>
        <v>0</v>
      </c>
      <c r="L605" s="37" t="n">
        <f aca="false">I605*K605</f>
        <v>0</v>
      </c>
    </row>
    <row r="606" customFormat="false" ht="15" hidden="false" customHeight="false" outlineLevel="0" collapsed="false">
      <c r="A606" s="32" t="s">
        <v>1228</v>
      </c>
      <c r="B606" s="32" t="s">
        <v>23</v>
      </c>
      <c r="C606" s="32" t="s">
        <v>1229</v>
      </c>
      <c r="D606" s="32" t="s">
        <v>1223</v>
      </c>
      <c r="E606" s="33" t="n">
        <v>8430942354619</v>
      </c>
      <c r="F606" s="33" t="n">
        <v>1</v>
      </c>
      <c r="G606" s="34" t="n">
        <v>39.15</v>
      </c>
      <c r="H606" s="33" t="n">
        <v>69</v>
      </c>
      <c r="I606" s="45" t="n">
        <f aca="false">G606*((100-H606)/100)</f>
        <v>12.1365</v>
      </c>
      <c r="J606" s="35"/>
      <c r="K606" s="36" t="n">
        <f aca="false">+F606*J606</f>
        <v>0</v>
      </c>
      <c r="L606" s="37" t="n">
        <f aca="false">I606*K606</f>
        <v>0</v>
      </c>
    </row>
    <row r="607" customFormat="false" ht="15" hidden="false" customHeight="false" outlineLevel="0" collapsed="false">
      <c r="A607" s="32" t="s">
        <v>1230</v>
      </c>
      <c r="B607" s="32" t="s">
        <v>23</v>
      </c>
      <c r="C607" s="32" t="s">
        <v>1231</v>
      </c>
      <c r="D607" s="32" t="s">
        <v>1223</v>
      </c>
      <c r="E607" s="33" t="n">
        <v>8430942354633</v>
      </c>
      <c r="F607" s="33" t="n">
        <v>1</v>
      </c>
      <c r="G607" s="34" t="n">
        <v>52.73</v>
      </c>
      <c r="H607" s="33" t="n">
        <v>69</v>
      </c>
      <c r="I607" s="45" t="n">
        <f aca="false">G607*((100-H607)/100)</f>
        <v>16.3463</v>
      </c>
      <c r="J607" s="35"/>
      <c r="K607" s="36" t="n">
        <f aca="false">+F607*J607</f>
        <v>0</v>
      </c>
      <c r="L607" s="37" t="n">
        <f aca="false">I607*K607</f>
        <v>0</v>
      </c>
    </row>
    <row r="608" customFormat="false" ht="15" hidden="false" customHeight="false" outlineLevel="0" collapsed="false">
      <c r="A608" s="32" t="s">
        <v>1232</v>
      </c>
      <c r="B608" s="32" t="s">
        <v>23</v>
      </c>
      <c r="C608" s="32" t="s">
        <v>1233</v>
      </c>
      <c r="D608" s="32" t="s">
        <v>1223</v>
      </c>
      <c r="E608" s="33" t="n">
        <v>8430942354640</v>
      </c>
      <c r="F608" s="33" t="n">
        <v>1</v>
      </c>
      <c r="G608" s="34" t="n">
        <v>60.51</v>
      </c>
      <c r="H608" s="33" t="n">
        <v>69</v>
      </c>
      <c r="I608" s="45" t="n">
        <f aca="false">G608*((100-H608)/100)</f>
        <v>18.7581</v>
      </c>
      <c r="J608" s="35"/>
      <c r="K608" s="36" t="n">
        <f aca="false">+F608*J608</f>
        <v>0</v>
      </c>
      <c r="L608" s="37" t="n">
        <f aca="false">I608*K608</f>
        <v>0</v>
      </c>
    </row>
    <row r="609" customFormat="false" ht="15" hidden="false" customHeight="false" outlineLevel="0" collapsed="false">
      <c r="A609" s="32" t="s">
        <v>1234</v>
      </c>
      <c r="B609" s="32" t="s">
        <v>23</v>
      </c>
      <c r="C609" s="32" t="s">
        <v>1235</v>
      </c>
      <c r="D609" s="32" t="s">
        <v>291</v>
      </c>
      <c r="E609" s="33" t="n">
        <v>8430942009892</v>
      </c>
      <c r="F609" s="33" t="n">
        <v>1</v>
      </c>
      <c r="G609" s="34" t="n">
        <v>51.75</v>
      </c>
      <c r="H609" s="33" t="n">
        <v>69</v>
      </c>
      <c r="I609" s="45" t="n">
        <f aca="false">G609*((100-H609)/100)</f>
        <v>16.0425</v>
      </c>
      <c r="J609" s="35"/>
      <c r="K609" s="36" t="n">
        <f aca="false">+F609*J609</f>
        <v>0</v>
      </c>
      <c r="L609" s="37" t="n">
        <f aca="false">I609*K609</f>
        <v>0</v>
      </c>
    </row>
    <row r="610" customFormat="false" ht="15" hidden="false" customHeight="false" outlineLevel="0" collapsed="false">
      <c r="A610" s="32" t="s">
        <v>1236</v>
      </c>
      <c r="B610" s="32" t="s">
        <v>23</v>
      </c>
      <c r="C610" s="32" t="s">
        <v>1237</v>
      </c>
      <c r="D610" s="32" t="s">
        <v>291</v>
      </c>
      <c r="E610" s="33" t="n">
        <v>8430942009915</v>
      </c>
      <c r="F610" s="33" t="n">
        <v>1</v>
      </c>
      <c r="G610" s="34" t="n">
        <v>54.33</v>
      </c>
      <c r="H610" s="33" t="n">
        <v>69</v>
      </c>
      <c r="I610" s="45" t="n">
        <f aca="false">G610*((100-H610)/100)</f>
        <v>16.8423</v>
      </c>
      <c r="J610" s="35"/>
      <c r="K610" s="36" t="n">
        <f aca="false">+F610*J610</f>
        <v>0</v>
      </c>
      <c r="L610" s="37" t="n">
        <f aca="false">I610*K610</f>
        <v>0</v>
      </c>
    </row>
    <row r="611" customFormat="false" ht="15" hidden="false" customHeight="false" outlineLevel="0" collapsed="false">
      <c r="A611" s="32" t="s">
        <v>1238</v>
      </c>
      <c r="B611" s="32" t="s">
        <v>23</v>
      </c>
      <c r="C611" s="32" t="s">
        <v>1239</v>
      </c>
      <c r="D611" s="32" t="s">
        <v>291</v>
      </c>
      <c r="E611" s="33" t="n">
        <v>8430942009939</v>
      </c>
      <c r="F611" s="33" t="n">
        <v>1</v>
      </c>
      <c r="G611" s="34" t="n">
        <v>56.42</v>
      </c>
      <c r="H611" s="33" t="n">
        <v>69</v>
      </c>
      <c r="I611" s="45" t="n">
        <f aca="false">G611*((100-H611)/100)</f>
        <v>17.4902</v>
      </c>
      <c r="J611" s="35"/>
      <c r="K611" s="36" t="n">
        <f aca="false">+F611*J611</f>
        <v>0</v>
      </c>
      <c r="L611" s="37" t="n">
        <f aca="false">I611*K611</f>
        <v>0</v>
      </c>
    </row>
    <row r="612" customFormat="false" ht="15" hidden="false" customHeight="false" outlineLevel="0" collapsed="false">
      <c r="A612" s="32" t="s">
        <v>1240</v>
      </c>
      <c r="B612" s="32" t="s">
        <v>23</v>
      </c>
      <c r="C612" s="32" t="s">
        <v>1241</v>
      </c>
      <c r="D612" s="32" t="s">
        <v>291</v>
      </c>
      <c r="E612" s="33" t="n">
        <v>8430942009960</v>
      </c>
      <c r="F612" s="33" t="n">
        <v>1</v>
      </c>
      <c r="G612" s="34" t="n">
        <v>78</v>
      </c>
      <c r="H612" s="33" t="n">
        <v>69</v>
      </c>
      <c r="I612" s="45" t="n">
        <f aca="false">G612*((100-H612)/100)</f>
        <v>24.18</v>
      </c>
      <c r="J612" s="35"/>
      <c r="K612" s="36" t="n">
        <f aca="false">+F612*J612</f>
        <v>0</v>
      </c>
      <c r="L612" s="37" t="n">
        <f aca="false">I612*K612</f>
        <v>0</v>
      </c>
    </row>
    <row r="613" customFormat="false" ht="15" hidden="false" customHeight="false" outlineLevel="0" collapsed="false">
      <c r="A613" s="32" t="s">
        <v>1242</v>
      </c>
      <c r="B613" s="32" t="s">
        <v>23</v>
      </c>
      <c r="C613" s="32" t="s">
        <v>1243</v>
      </c>
      <c r="D613" s="32" t="s">
        <v>291</v>
      </c>
      <c r="E613" s="33" t="n">
        <v>8430942009977</v>
      </c>
      <c r="F613" s="33" t="n">
        <v>1</v>
      </c>
      <c r="G613" s="34" t="n">
        <v>78</v>
      </c>
      <c r="H613" s="33" t="n">
        <v>69</v>
      </c>
      <c r="I613" s="45" t="n">
        <f aca="false">G613*((100-H613)/100)</f>
        <v>24.18</v>
      </c>
      <c r="J613" s="35"/>
      <c r="K613" s="36" t="n">
        <f aca="false">+F613*J613</f>
        <v>0</v>
      </c>
      <c r="L613" s="37" t="n">
        <f aca="false">I613*K613</f>
        <v>0</v>
      </c>
    </row>
    <row r="614" customFormat="false" ht="15" hidden="false" customHeight="false" outlineLevel="0" collapsed="false">
      <c r="A614" s="32" t="s">
        <v>1244</v>
      </c>
      <c r="B614" s="32" t="s">
        <v>23</v>
      </c>
      <c r="C614" s="32" t="s">
        <v>1245</v>
      </c>
      <c r="D614" s="32" t="s">
        <v>291</v>
      </c>
      <c r="E614" s="33" t="n">
        <v>8430942010003</v>
      </c>
      <c r="F614" s="33" t="n">
        <v>1</v>
      </c>
      <c r="G614" s="34" t="n">
        <v>104.13</v>
      </c>
      <c r="H614" s="33" t="n">
        <v>69</v>
      </c>
      <c r="I614" s="45" t="n">
        <f aca="false">G614*((100-H614)/100)</f>
        <v>32.2803</v>
      </c>
      <c r="J614" s="35"/>
      <c r="K614" s="36" t="n">
        <f aca="false">+F614*J614</f>
        <v>0</v>
      </c>
      <c r="L614" s="37" t="n">
        <f aca="false">I614*K614</f>
        <v>0</v>
      </c>
    </row>
    <row r="615" customFormat="false" ht="15" hidden="false" customHeight="false" outlineLevel="0" collapsed="false">
      <c r="A615" s="32" t="s">
        <v>1246</v>
      </c>
      <c r="B615" s="32" t="s">
        <v>23</v>
      </c>
      <c r="C615" s="32" t="s">
        <v>1247</v>
      </c>
      <c r="D615" s="32" t="s">
        <v>291</v>
      </c>
      <c r="E615" s="33" t="n">
        <v>8430942010010</v>
      </c>
      <c r="F615" s="33" t="n">
        <v>1</v>
      </c>
      <c r="G615" s="34" t="n">
        <v>148.44</v>
      </c>
      <c r="H615" s="33" t="n">
        <v>69</v>
      </c>
      <c r="I615" s="45" t="n">
        <f aca="false">G615*((100-H615)/100)</f>
        <v>46.0164</v>
      </c>
      <c r="J615" s="35"/>
      <c r="K615" s="36" t="n">
        <f aca="false">+F615*J615</f>
        <v>0</v>
      </c>
      <c r="L615" s="37" t="n">
        <f aca="false">I615*K615</f>
        <v>0</v>
      </c>
    </row>
    <row r="616" customFormat="false" ht="15" hidden="false" customHeight="false" outlineLevel="0" collapsed="false">
      <c r="A616" s="32" t="s">
        <v>1248</v>
      </c>
      <c r="B616" s="32" t="s">
        <v>23</v>
      </c>
      <c r="C616" s="32" t="s">
        <v>1249</v>
      </c>
      <c r="D616" s="32" t="s">
        <v>304</v>
      </c>
      <c r="E616" s="33" t="n">
        <v>8430942021238</v>
      </c>
      <c r="F616" s="33" t="n">
        <v>1</v>
      </c>
      <c r="G616" s="34" t="n">
        <v>81.54</v>
      </c>
      <c r="H616" s="33" t="n">
        <v>69</v>
      </c>
      <c r="I616" s="45" t="n">
        <f aca="false">G616*((100-H616)/100)</f>
        <v>25.2774</v>
      </c>
      <c r="J616" s="35"/>
      <c r="K616" s="36" t="n">
        <f aca="false">+F616*J616</f>
        <v>0</v>
      </c>
      <c r="L616" s="37" t="n">
        <f aca="false">I616*K616</f>
        <v>0</v>
      </c>
    </row>
    <row r="617" customFormat="false" ht="15" hidden="false" customHeight="false" outlineLevel="0" collapsed="false">
      <c r="A617" s="32" t="s">
        <v>1250</v>
      </c>
      <c r="B617" s="32" t="s">
        <v>23</v>
      </c>
      <c r="C617" s="32" t="s">
        <v>1251</v>
      </c>
      <c r="D617" s="32" t="s">
        <v>304</v>
      </c>
      <c r="E617" s="33" t="n">
        <v>8430942019853</v>
      </c>
      <c r="F617" s="33" t="n">
        <v>1</v>
      </c>
      <c r="G617" s="34" t="n">
        <v>84.23</v>
      </c>
      <c r="H617" s="33" t="n">
        <v>69</v>
      </c>
      <c r="I617" s="45" t="n">
        <f aca="false">G617*((100-H617)/100)</f>
        <v>26.1113</v>
      </c>
      <c r="J617" s="35"/>
      <c r="K617" s="36" t="n">
        <f aca="false">+F617*J617</f>
        <v>0</v>
      </c>
      <c r="L617" s="37" t="n">
        <f aca="false">I617*K617</f>
        <v>0</v>
      </c>
    </row>
    <row r="618" customFormat="false" ht="15" hidden="false" customHeight="false" outlineLevel="0" collapsed="false">
      <c r="A618" s="32" t="s">
        <v>1252</v>
      </c>
      <c r="B618" s="32" t="s">
        <v>23</v>
      </c>
      <c r="C618" s="32" t="s">
        <v>1253</v>
      </c>
      <c r="D618" s="32" t="s">
        <v>304</v>
      </c>
      <c r="E618" s="33" t="n">
        <v>8430942010065</v>
      </c>
      <c r="F618" s="33" t="n">
        <v>1</v>
      </c>
      <c r="G618" s="34" t="n">
        <v>95.58</v>
      </c>
      <c r="H618" s="33" t="n">
        <v>69</v>
      </c>
      <c r="I618" s="45" t="n">
        <f aca="false">G618*((100-H618)/100)</f>
        <v>29.6298</v>
      </c>
      <c r="J618" s="35"/>
      <c r="K618" s="36" t="n">
        <f aca="false">+F618*J618</f>
        <v>0</v>
      </c>
      <c r="L618" s="37" t="n">
        <f aca="false">I618*K618</f>
        <v>0</v>
      </c>
    </row>
    <row r="619" customFormat="false" ht="15" hidden="false" customHeight="false" outlineLevel="0" collapsed="false">
      <c r="A619" s="32" t="s">
        <v>1254</v>
      </c>
      <c r="B619" s="32" t="s">
        <v>23</v>
      </c>
      <c r="C619" s="32" t="s">
        <v>1255</v>
      </c>
      <c r="D619" s="32" t="s">
        <v>304</v>
      </c>
      <c r="E619" s="33" t="n">
        <v>8430942010072</v>
      </c>
      <c r="F619" s="33" t="n">
        <v>1</v>
      </c>
      <c r="G619" s="34" t="n">
        <v>105</v>
      </c>
      <c r="H619" s="33" t="n">
        <v>69</v>
      </c>
      <c r="I619" s="45" t="n">
        <f aca="false">G619*((100-H619)/100)</f>
        <v>32.55</v>
      </c>
      <c r="J619" s="35"/>
      <c r="K619" s="36" t="n">
        <f aca="false">+F619*J619</f>
        <v>0</v>
      </c>
      <c r="L619" s="37" t="n">
        <f aca="false">I619*K619</f>
        <v>0</v>
      </c>
    </row>
    <row r="620" customFormat="false" ht="15" hidden="false" customHeight="false" outlineLevel="0" collapsed="false">
      <c r="A620" s="32" t="s">
        <v>1256</v>
      </c>
      <c r="B620" s="32" t="s">
        <v>23</v>
      </c>
      <c r="C620" s="32" t="s">
        <v>1257</v>
      </c>
      <c r="D620" s="32" t="s">
        <v>304</v>
      </c>
      <c r="E620" s="33" t="n">
        <v>8430942010089</v>
      </c>
      <c r="F620" s="33" t="n">
        <v>1</v>
      </c>
      <c r="G620" s="34" t="n">
        <v>114.97</v>
      </c>
      <c r="H620" s="33" t="n">
        <v>69</v>
      </c>
      <c r="I620" s="45" t="n">
        <f aca="false">G620*((100-H620)/100)</f>
        <v>35.6407</v>
      </c>
      <c r="J620" s="35"/>
      <c r="K620" s="36" t="n">
        <f aca="false">+F620*J620</f>
        <v>0</v>
      </c>
      <c r="L620" s="37" t="n">
        <f aca="false">I620*K620</f>
        <v>0</v>
      </c>
    </row>
    <row r="621" customFormat="false" ht="15" hidden="false" customHeight="false" outlineLevel="0" collapsed="false">
      <c r="A621" s="32" t="s">
        <v>1258</v>
      </c>
      <c r="B621" s="32" t="s">
        <v>23</v>
      </c>
      <c r="C621" s="32" t="s">
        <v>1259</v>
      </c>
      <c r="D621" s="32" t="s">
        <v>304</v>
      </c>
      <c r="E621" s="33" t="n">
        <v>8430942010102</v>
      </c>
      <c r="F621" s="33" t="n">
        <v>1</v>
      </c>
      <c r="G621" s="34" t="n">
        <v>154.81</v>
      </c>
      <c r="H621" s="33" t="n">
        <v>69</v>
      </c>
      <c r="I621" s="45" t="n">
        <f aca="false">G621*((100-H621)/100)</f>
        <v>47.9911</v>
      </c>
      <c r="J621" s="35"/>
      <c r="K621" s="36" t="n">
        <f aca="false">+F621*J621</f>
        <v>0</v>
      </c>
      <c r="L621" s="37" t="n">
        <f aca="false">I621*K621</f>
        <v>0</v>
      </c>
    </row>
    <row r="622" customFormat="false" ht="15" hidden="false" customHeight="false" outlineLevel="0" collapsed="false">
      <c r="A622" s="32" t="s">
        <v>1260</v>
      </c>
      <c r="B622" s="32" t="s">
        <v>23</v>
      </c>
      <c r="C622" s="32" t="s">
        <v>1261</v>
      </c>
      <c r="D622" s="32" t="s">
        <v>304</v>
      </c>
      <c r="E622" s="33" t="n">
        <v>8430942010126</v>
      </c>
      <c r="F622" s="33" t="n">
        <v>1</v>
      </c>
      <c r="G622" s="34" t="n">
        <v>197.12</v>
      </c>
      <c r="H622" s="33" t="n">
        <v>69</v>
      </c>
      <c r="I622" s="45" t="n">
        <f aca="false">G622*((100-H622)/100)</f>
        <v>61.1072</v>
      </c>
      <c r="J622" s="35"/>
      <c r="K622" s="36" t="n">
        <f aca="false">+F622*J622</f>
        <v>0</v>
      </c>
      <c r="L622" s="37" t="n">
        <f aca="false">I622*K622</f>
        <v>0</v>
      </c>
    </row>
    <row r="623" customFormat="false" ht="15" hidden="false" customHeight="false" outlineLevel="0" collapsed="false">
      <c r="A623" s="32" t="s">
        <v>1262</v>
      </c>
      <c r="B623" s="32" t="s">
        <v>23</v>
      </c>
      <c r="C623" s="32" t="s">
        <v>1263</v>
      </c>
      <c r="D623" s="32" t="s">
        <v>655</v>
      </c>
      <c r="E623" s="33" t="n">
        <v>8430942328382</v>
      </c>
      <c r="F623" s="33" t="n">
        <v>1</v>
      </c>
      <c r="G623" s="34" t="n">
        <v>110.47</v>
      </c>
      <c r="H623" s="33" t="n">
        <v>69</v>
      </c>
      <c r="I623" s="45" t="n">
        <f aca="false">G623*((100-H623)/100)</f>
        <v>34.2457</v>
      </c>
      <c r="J623" s="35"/>
      <c r="K623" s="36" t="n">
        <f aca="false">+F623*J623</f>
        <v>0</v>
      </c>
      <c r="L623" s="37" t="n">
        <f aca="false">I623*K623</f>
        <v>0</v>
      </c>
    </row>
    <row r="624" customFormat="false" ht="15" hidden="false" customHeight="false" outlineLevel="0" collapsed="false">
      <c r="A624" s="32" t="s">
        <v>1264</v>
      </c>
      <c r="B624" s="32" t="s">
        <v>23</v>
      </c>
      <c r="C624" s="32" t="s">
        <v>1265</v>
      </c>
      <c r="D624" s="32" t="s">
        <v>655</v>
      </c>
      <c r="E624" s="33" t="n">
        <v>8430942328405</v>
      </c>
      <c r="F624" s="33" t="n">
        <v>1</v>
      </c>
      <c r="G624" s="34" t="n">
        <v>119.75</v>
      </c>
      <c r="H624" s="33" t="n">
        <v>69</v>
      </c>
      <c r="I624" s="45" t="n">
        <f aca="false">G624*((100-H624)/100)</f>
        <v>37.1225</v>
      </c>
      <c r="J624" s="35"/>
      <c r="K624" s="36" t="n">
        <f aca="false">+F624*J624</f>
        <v>0</v>
      </c>
      <c r="L624" s="37" t="n">
        <f aca="false">I624*K624</f>
        <v>0</v>
      </c>
    </row>
    <row r="625" customFormat="false" ht="15" hidden="false" customHeight="false" outlineLevel="0" collapsed="false">
      <c r="A625" s="32" t="s">
        <v>1266</v>
      </c>
      <c r="B625" s="32" t="s">
        <v>23</v>
      </c>
      <c r="C625" s="32" t="s">
        <v>1267</v>
      </c>
      <c r="D625" s="32" t="s">
        <v>655</v>
      </c>
      <c r="E625" s="33" t="n">
        <v>8430942328429</v>
      </c>
      <c r="F625" s="33" t="n">
        <v>1</v>
      </c>
      <c r="G625" s="34" t="n">
        <v>134.31</v>
      </c>
      <c r="H625" s="33" t="n">
        <v>69</v>
      </c>
      <c r="I625" s="45" t="n">
        <f aca="false">G625*((100-H625)/100)</f>
        <v>41.6361</v>
      </c>
      <c r="J625" s="35"/>
      <c r="K625" s="36" t="n">
        <f aca="false">+F625*J625</f>
        <v>0</v>
      </c>
      <c r="L625" s="37" t="n">
        <f aca="false">I625*K625</f>
        <v>0</v>
      </c>
    </row>
    <row r="626" customFormat="false" ht="15" hidden="false" customHeight="false" outlineLevel="0" collapsed="false">
      <c r="A626" s="32" t="s">
        <v>1268</v>
      </c>
      <c r="B626" s="32" t="s">
        <v>23</v>
      </c>
      <c r="C626" s="32" t="s">
        <v>1269</v>
      </c>
      <c r="D626" s="32" t="s">
        <v>655</v>
      </c>
      <c r="E626" s="33" t="n">
        <v>8430942328450</v>
      </c>
      <c r="F626" s="33" t="n">
        <v>1</v>
      </c>
      <c r="G626" s="34" t="n">
        <v>149.59</v>
      </c>
      <c r="H626" s="33" t="n">
        <v>69</v>
      </c>
      <c r="I626" s="45" t="n">
        <f aca="false">G626*((100-H626)/100)</f>
        <v>46.3729</v>
      </c>
      <c r="J626" s="35"/>
      <c r="K626" s="36" t="n">
        <f aca="false">+F626*J626</f>
        <v>0</v>
      </c>
      <c r="L626" s="37" t="n">
        <f aca="false">I626*K626</f>
        <v>0</v>
      </c>
    </row>
    <row r="627" customFormat="false" ht="15" hidden="false" customHeight="false" outlineLevel="0" collapsed="false">
      <c r="A627" s="32" t="s">
        <v>1270</v>
      </c>
      <c r="B627" s="32" t="s">
        <v>23</v>
      </c>
      <c r="C627" s="32" t="s">
        <v>1271</v>
      </c>
      <c r="D627" s="32" t="s">
        <v>655</v>
      </c>
      <c r="E627" s="33" t="n">
        <v>8430942328467</v>
      </c>
      <c r="F627" s="33" t="n">
        <v>1</v>
      </c>
      <c r="G627" s="34" t="n">
        <v>157.24</v>
      </c>
      <c r="H627" s="33" t="n">
        <v>69</v>
      </c>
      <c r="I627" s="45" t="n">
        <f aca="false">G627*((100-H627)/100)</f>
        <v>48.7444</v>
      </c>
      <c r="J627" s="35"/>
      <c r="K627" s="36" t="n">
        <f aca="false">+F627*J627</f>
        <v>0</v>
      </c>
      <c r="L627" s="37" t="n">
        <f aca="false">I627*K627</f>
        <v>0</v>
      </c>
    </row>
    <row r="628" customFormat="false" ht="15" hidden="false" customHeight="false" outlineLevel="0" collapsed="false">
      <c r="A628" s="32" t="s">
        <v>1272</v>
      </c>
      <c r="B628" s="32" t="s">
        <v>23</v>
      </c>
      <c r="C628" s="32" t="s">
        <v>1273</v>
      </c>
      <c r="D628" s="32" t="s">
        <v>655</v>
      </c>
      <c r="E628" s="33" t="n">
        <v>8430942328481</v>
      </c>
      <c r="F628" s="33" t="n">
        <v>1</v>
      </c>
      <c r="G628" s="34" t="n">
        <v>165.7</v>
      </c>
      <c r="H628" s="33" t="n">
        <v>69</v>
      </c>
      <c r="I628" s="45" t="n">
        <f aca="false">G628*((100-H628)/100)</f>
        <v>51.367</v>
      </c>
      <c r="J628" s="35"/>
      <c r="K628" s="36" t="n">
        <f aca="false">+F628*J628</f>
        <v>0</v>
      </c>
      <c r="L628" s="37" t="n">
        <f aca="false">I628*K628</f>
        <v>0</v>
      </c>
    </row>
    <row r="629" customFormat="false" ht="15" hidden="false" customHeight="false" outlineLevel="0" collapsed="false">
      <c r="A629" s="32" t="s">
        <v>1274</v>
      </c>
      <c r="B629" s="32" t="s">
        <v>23</v>
      </c>
      <c r="C629" s="32" t="s">
        <v>1275</v>
      </c>
      <c r="D629" s="32" t="s">
        <v>655</v>
      </c>
      <c r="E629" s="33" t="n">
        <v>8430942328498</v>
      </c>
      <c r="F629" s="33" t="n">
        <v>1</v>
      </c>
      <c r="G629" s="34" t="n">
        <v>211.68</v>
      </c>
      <c r="H629" s="33" t="n">
        <v>69</v>
      </c>
      <c r="I629" s="45" t="n">
        <f aca="false">G629*((100-H629)/100)</f>
        <v>65.6208</v>
      </c>
      <c r="J629" s="35"/>
      <c r="K629" s="36" t="n">
        <f aca="false">+F629*J629</f>
        <v>0</v>
      </c>
      <c r="L629" s="37" t="n">
        <f aca="false">I629*K629</f>
        <v>0</v>
      </c>
    </row>
    <row r="630" customFormat="false" ht="15" hidden="false" customHeight="false" outlineLevel="0" collapsed="false">
      <c r="A630" s="32" t="s">
        <v>1276</v>
      </c>
      <c r="B630" s="32" t="s">
        <v>23</v>
      </c>
      <c r="C630" s="32" t="s">
        <v>1277</v>
      </c>
      <c r="D630" s="32" t="s">
        <v>883</v>
      </c>
      <c r="E630" s="33" t="n">
        <v>8430942353919</v>
      </c>
      <c r="F630" s="33" t="n">
        <v>1</v>
      </c>
      <c r="G630" s="34" t="n">
        <v>170.19</v>
      </c>
      <c r="H630" s="33" t="n">
        <v>69</v>
      </c>
      <c r="I630" s="45" t="n">
        <f aca="false">G630*((100-H630)/100)</f>
        <v>52.7589</v>
      </c>
      <c r="J630" s="35"/>
      <c r="K630" s="36" t="n">
        <f aca="false">+F630*J630</f>
        <v>0</v>
      </c>
      <c r="L630" s="37" t="n">
        <f aca="false">I630*K630</f>
        <v>0</v>
      </c>
    </row>
    <row r="631" customFormat="false" ht="15" hidden="false" customHeight="false" outlineLevel="0" collapsed="false">
      <c r="A631" s="32" t="s">
        <v>1278</v>
      </c>
      <c r="B631" s="32" t="s">
        <v>23</v>
      </c>
      <c r="C631" s="32" t="s">
        <v>1279</v>
      </c>
      <c r="D631" s="32" t="s">
        <v>883</v>
      </c>
      <c r="E631" s="33" t="n">
        <v>8430942353926</v>
      </c>
      <c r="F631" s="33" t="n">
        <v>1</v>
      </c>
      <c r="G631" s="34" t="n">
        <v>168.15</v>
      </c>
      <c r="H631" s="33" t="n">
        <v>69</v>
      </c>
      <c r="I631" s="45" t="n">
        <f aca="false">G631*((100-H631)/100)</f>
        <v>52.1265</v>
      </c>
      <c r="J631" s="35"/>
      <c r="K631" s="36" t="n">
        <f aca="false">+F631*J631</f>
        <v>0</v>
      </c>
      <c r="L631" s="37" t="n">
        <f aca="false">I631*K631</f>
        <v>0</v>
      </c>
    </row>
    <row r="632" customFormat="false" ht="15" hidden="false" customHeight="false" outlineLevel="0" collapsed="false">
      <c r="A632" s="32" t="s">
        <v>1280</v>
      </c>
      <c r="B632" s="32" t="s">
        <v>23</v>
      </c>
      <c r="C632" s="32" t="s">
        <v>1281</v>
      </c>
      <c r="D632" s="32" t="s">
        <v>883</v>
      </c>
      <c r="E632" s="33" t="n">
        <v>8430942353933</v>
      </c>
      <c r="F632" s="33" t="n">
        <v>1</v>
      </c>
      <c r="G632" s="34" t="n">
        <v>230.37</v>
      </c>
      <c r="H632" s="33" t="n">
        <v>69</v>
      </c>
      <c r="I632" s="45" t="n">
        <f aca="false">G632*((100-H632)/100)</f>
        <v>71.4147</v>
      </c>
      <c r="J632" s="35"/>
      <c r="K632" s="36" t="n">
        <f aca="false">+F632*J632</f>
        <v>0</v>
      </c>
      <c r="L632" s="37" t="n">
        <f aca="false">I632*K632</f>
        <v>0</v>
      </c>
    </row>
    <row r="633" customFormat="false" ht="15" hidden="false" customHeight="false" outlineLevel="0" collapsed="false">
      <c r="A633" s="32" t="s">
        <v>1282</v>
      </c>
      <c r="B633" s="32" t="s">
        <v>23</v>
      </c>
      <c r="C633" s="32" t="s">
        <v>1283</v>
      </c>
      <c r="D633" s="32" t="s">
        <v>883</v>
      </c>
      <c r="E633" s="33" t="n">
        <v>8430942353940</v>
      </c>
      <c r="F633" s="33" t="n">
        <v>1</v>
      </c>
      <c r="G633" s="34" t="n">
        <v>230.37</v>
      </c>
      <c r="H633" s="33" t="n">
        <v>69</v>
      </c>
      <c r="I633" s="45" t="n">
        <f aca="false">G633*((100-H633)/100)</f>
        <v>71.4147</v>
      </c>
      <c r="J633" s="35"/>
      <c r="K633" s="36" t="n">
        <f aca="false">+F633*J633</f>
        <v>0</v>
      </c>
      <c r="L633" s="37" t="n">
        <f aca="false">I633*K633</f>
        <v>0</v>
      </c>
    </row>
    <row r="634" customFormat="false" ht="15" hidden="false" customHeight="false" outlineLevel="0" collapsed="false">
      <c r="A634" s="32" t="s">
        <v>1284</v>
      </c>
      <c r="B634" s="32" t="s">
        <v>23</v>
      </c>
      <c r="C634" s="32" t="s">
        <v>1285</v>
      </c>
      <c r="D634" s="32" t="s">
        <v>883</v>
      </c>
      <c r="E634" s="33" t="n">
        <v>8430942353964</v>
      </c>
      <c r="F634" s="33" t="n">
        <v>1</v>
      </c>
      <c r="G634" s="34" t="n">
        <v>250.53</v>
      </c>
      <c r="H634" s="33" t="n">
        <v>69</v>
      </c>
      <c r="I634" s="45" t="n">
        <f aca="false">G634*((100-H634)/100)</f>
        <v>77.6643</v>
      </c>
      <c r="J634" s="35"/>
      <c r="K634" s="36" t="n">
        <f aca="false">+F634*J634</f>
        <v>0</v>
      </c>
      <c r="L634" s="37" t="n">
        <f aca="false">I634*K634</f>
        <v>0</v>
      </c>
    </row>
    <row r="635" customFormat="false" ht="15" hidden="false" customHeight="false" outlineLevel="0" collapsed="false">
      <c r="A635" s="32" t="s">
        <v>1286</v>
      </c>
      <c r="B635" s="32" t="s">
        <v>23</v>
      </c>
      <c r="C635" s="32" t="s">
        <v>1287</v>
      </c>
      <c r="D635" s="32" t="s">
        <v>883</v>
      </c>
      <c r="E635" s="33" t="n">
        <v>8430942353971</v>
      </c>
      <c r="F635" s="33" t="n">
        <v>1</v>
      </c>
      <c r="G635" s="34" t="n">
        <v>261.42</v>
      </c>
      <c r="H635" s="33" t="n">
        <v>69</v>
      </c>
      <c r="I635" s="45" t="n">
        <f aca="false">G635*((100-H635)/100)</f>
        <v>81.0402</v>
      </c>
      <c r="J635" s="35"/>
      <c r="K635" s="36" t="n">
        <f aca="false">+F635*J635</f>
        <v>0</v>
      </c>
      <c r="L635" s="37" t="n">
        <f aca="false">I635*K635</f>
        <v>0</v>
      </c>
    </row>
    <row r="636" customFormat="false" ht="15" hidden="false" customHeight="false" outlineLevel="0" collapsed="false">
      <c r="A636" s="32" t="s">
        <v>1288</v>
      </c>
      <c r="B636" s="32" t="s">
        <v>23</v>
      </c>
      <c r="C636" s="32" t="s">
        <v>1289</v>
      </c>
      <c r="D636" s="32" t="s">
        <v>883</v>
      </c>
      <c r="E636" s="33" t="n">
        <v>8430942354015</v>
      </c>
      <c r="F636" s="33" t="n">
        <v>1</v>
      </c>
      <c r="G636" s="34" t="n">
        <v>170.19</v>
      </c>
      <c r="H636" s="33" t="n">
        <v>69</v>
      </c>
      <c r="I636" s="45" t="n">
        <f aca="false">G636*((100-H636)/100)</f>
        <v>52.7589</v>
      </c>
      <c r="J636" s="35"/>
      <c r="K636" s="36" t="n">
        <f aca="false">+F636*J636</f>
        <v>0</v>
      </c>
      <c r="L636" s="37" t="n">
        <f aca="false">I636*K636</f>
        <v>0</v>
      </c>
    </row>
    <row r="637" customFormat="false" ht="15" hidden="false" customHeight="false" outlineLevel="0" collapsed="false">
      <c r="A637" s="32" t="s">
        <v>1290</v>
      </c>
      <c r="B637" s="32" t="s">
        <v>23</v>
      </c>
      <c r="C637" s="32" t="s">
        <v>1291</v>
      </c>
      <c r="D637" s="32" t="s">
        <v>883</v>
      </c>
      <c r="E637" s="33" t="n">
        <v>8430942354022</v>
      </c>
      <c r="F637" s="33" t="n">
        <v>1</v>
      </c>
      <c r="G637" s="34" t="n">
        <v>168.15</v>
      </c>
      <c r="H637" s="33" t="n">
        <v>69</v>
      </c>
      <c r="I637" s="45" t="n">
        <f aca="false">G637*((100-H637)/100)</f>
        <v>52.1265</v>
      </c>
      <c r="J637" s="35"/>
      <c r="K637" s="36" t="n">
        <f aca="false">+F637*J637</f>
        <v>0</v>
      </c>
      <c r="L637" s="37" t="n">
        <f aca="false">I637*K637</f>
        <v>0</v>
      </c>
    </row>
    <row r="638" customFormat="false" ht="15" hidden="false" customHeight="false" outlineLevel="0" collapsed="false">
      <c r="A638" s="32" t="s">
        <v>1292</v>
      </c>
      <c r="B638" s="32" t="s">
        <v>23</v>
      </c>
      <c r="C638" s="32" t="s">
        <v>1293</v>
      </c>
      <c r="D638" s="32" t="s">
        <v>883</v>
      </c>
      <c r="E638" s="33" t="n">
        <v>8430942354039</v>
      </c>
      <c r="F638" s="33" t="n">
        <v>1</v>
      </c>
      <c r="G638" s="34" t="n">
        <v>230.37</v>
      </c>
      <c r="H638" s="33" t="n">
        <v>69</v>
      </c>
      <c r="I638" s="45" t="n">
        <f aca="false">G638*((100-H638)/100)</f>
        <v>71.4147</v>
      </c>
      <c r="J638" s="35"/>
      <c r="K638" s="36" t="n">
        <f aca="false">+F638*J638</f>
        <v>0</v>
      </c>
      <c r="L638" s="37" t="n">
        <f aca="false">I638*K638</f>
        <v>0</v>
      </c>
    </row>
    <row r="639" customFormat="false" ht="15" hidden="false" customHeight="false" outlineLevel="0" collapsed="false">
      <c r="A639" s="32" t="s">
        <v>1294</v>
      </c>
      <c r="B639" s="32" t="s">
        <v>23</v>
      </c>
      <c r="C639" s="32" t="s">
        <v>1295</v>
      </c>
      <c r="D639" s="32" t="s">
        <v>883</v>
      </c>
      <c r="E639" s="33" t="n">
        <v>8430942354046</v>
      </c>
      <c r="F639" s="33" t="n">
        <v>1</v>
      </c>
      <c r="G639" s="34" t="n">
        <v>230.37</v>
      </c>
      <c r="H639" s="33" t="n">
        <v>69</v>
      </c>
      <c r="I639" s="45" t="n">
        <f aca="false">G639*((100-H639)/100)</f>
        <v>71.4147</v>
      </c>
      <c r="J639" s="35"/>
      <c r="K639" s="36" t="n">
        <f aca="false">+F639*J639</f>
        <v>0</v>
      </c>
      <c r="L639" s="37" t="n">
        <f aca="false">I639*K639</f>
        <v>0</v>
      </c>
    </row>
    <row r="640" customFormat="false" ht="15" hidden="false" customHeight="false" outlineLevel="0" collapsed="false">
      <c r="A640" s="32" t="s">
        <v>1296</v>
      </c>
      <c r="B640" s="32" t="s">
        <v>23</v>
      </c>
      <c r="C640" s="32" t="s">
        <v>1297</v>
      </c>
      <c r="D640" s="32" t="s">
        <v>883</v>
      </c>
      <c r="E640" s="33" t="n">
        <v>8430942354060</v>
      </c>
      <c r="F640" s="33" t="n">
        <v>1</v>
      </c>
      <c r="G640" s="34" t="n">
        <v>250.53</v>
      </c>
      <c r="H640" s="33" t="n">
        <v>69</v>
      </c>
      <c r="I640" s="45" t="n">
        <f aca="false">G640*((100-H640)/100)</f>
        <v>77.6643</v>
      </c>
      <c r="J640" s="35"/>
      <c r="K640" s="36" t="n">
        <f aca="false">+F640*J640</f>
        <v>0</v>
      </c>
      <c r="L640" s="37" t="n">
        <f aca="false">I640*K640</f>
        <v>0</v>
      </c>
    </row>
    <row r="641" customFormat="false" ht="15" hidden="false" customHeight="false" outlineLevel="0" collapsed="false">
      <c r="A641" s="32" t="s">
        <v>1298</v>
      </c>
      <c r="B641" s="32" t="s">
        <v>23</v>
      </c>
      <c r="C641" s="32" t="s">
        <v>1299</v>
      </c>
      <c r="D641" s="32" t="s">
        <v>883</v>
      </c>
      <c r="E641" s="33" t="n">
        <v>8430942354077</v>
      </c>
      <c r="F641" s="33" t="n">
        <v>1</v>
      </c>
      <c r="G641" s="34" t="n">
        <v>261.42</v>
      </c>
      <c r="H641" s="33" t="n">
        <v>69</v>
      </c>
      <c r="I641" s="45" t="n">
        <f aca="false">G641*((100-H641)/100)</f>
        <v>81.0402</v>
      </c>
      <c r="J641" s="35"/>
      <c r="K641" s="36" t="n">
        <f aca="false">+F641*J641</f>
        <v>0</v>
      </c>
      <c r="L641" s="37" t="n">
        <f aca="false">I641*K641</f>
        <v>0</v>
      </c>
    </row>
    <row r="642" customFormat="false" ht="15" hidden="false" customHeight="false" outlineLevel="0" collapsed="false">
      <c r="A642" s="32" t="s">
        <v>1300</v>
      </c>
      <c r="B642" s="32" t="s">
        <v>23</v>
      </c>
      <c r="C642" s="32" t="s">
        <v>1301</v>
      </c>
      <c r="D642" s="32" t="s">
        <v>731</v>
      </c>
      <c r="E642" s="33" t="n">
        <v>8430942331917</v>
      </c>
      <c r="F642" s="33" t="n">
        <v>1</v>
      </c>
      <c r="G642" s="34" t="n">
        <v>4.28</v>
      </c>
      <c r="H642" s="33" t="n">
        <v>69</v>
      </c>
      <c r="I642" s="45" t="n">
        <f aca="false">G642*((100-H642)/100)</f>
        <v>1.3268</v>
      </c>
      <c r="J642" s="35"/>
      <c r="K642" s="36" t="n">
        <f aca="false">+F642*J642</f>
        <v>0</v>
      </c>
      <c r="L642" s="37" t="n">
        <f aca="false">I642*K642</f>
        <v>0</v>
      </c>
    </row>
    <row r="643" customFormat="false" ht="15" hidden="false" customHeight="false" outlineLevel="0" collapsed="false">
      <c r="A643" s="32" t="s">
        <v>1302</v>
      </c>
      <c r="B643" s="32" t="s">
        <v>23</v>
      </c>
      <c r="C643" s="32" t="s">
        <v>1303</v>
      </c>
      <c r="D643" s="32" t="s">
        <v>731</v>
      </c>
      <c r="E643" s="33" t="n">
        <v>8430942331931</v>
      </c>
      <c r="F643" s="33" t="n">
        <v>1</v>
      </c>
      <c r="G643" s="34" t="n">
        <v>6.11</v>
      </c>
      <c r="H643" s="33" t="n">
        <v>69</v>
      </c>
      <c r="I643" s="45" t="n">
        <f aca="false">G643*((100-H643)/100)</f>
        <v>1.8941</v>
      </c>
      <c r="J643" s="35"/>
      <c r="K643" s="36" t="n">
        <f aca="false">+F643*J643</f>
        <v>0</v>
      </c>
      <c r="L643" s="37" t="n">
        <f aca="false">I643*K643</f>
        <v>0</v>
      </c>
    </row>
    <row r="644" customFormat="false" ht="15" hidden="false" customHeight="false" outlineLevel="0" collapsed="false">
      <c r="A644" s="32" t="s">
        <v>1304</v>
      </c>
      <c r="B644" s="32" t="s">
        <v>23</v>
      </c>
      <c r="C644" s="32" t="s">
        <v>1305</v>
      </c>
      <c r="D644" s="32" t="s">
        <v>731</v>
      </c>
      <c r="E644" s="33" t="n">
        <v>8430942331955</v>
      </c>
      <c r="F644" s="33" t="n">
        <v>1</v>
      </c>
      <c r="G644" s="34" t="n">
        <v>7.63</v>
      </c>
      <c r="H644" s="33" t="n">
        <v>69</v>
      </c>
      <c r="I644" s="45" t="n">
        <f aca="false">G644*((100-H644)/100)</f>
        <v>2.3653</v>
      </c>
      <c r="J644" s="35"/>
      <c r="K644" s="36" t="n">
        <f aca="false">+F644*J644</f>
        <v>0</v>
      </c>
      <c r="L644" s="37" t="n">
        <f aca="false">I644*K644</f>
        <v>0</v>
      </c>
    </row>
    <row r="645" customFormat="false" ht="15" hidden="false" customHeight="false" outlineLevel="0" collapsed="false">
      <c r="A645" s="32" t="s">
        <v>1306</v>
      </c>
      <c r="B645" s="32" t="s">
        <v>23</v>
      </c>
      <c r="C645" s="32" t="s">
        <v>1307</v>
      </c>
      <c r="D645" s="32" t="s">
        <v>731</v>
      </c>
      <c r="E645" s="33" t="n">
        <v>8430942331962</v>
      </c>
      <c r="F645" s="33" t="n">
        <v>1</v>
      </c>
      <c r="G645" s="34" t="n">
        <v>9.58</v>
      </c>
      <c r="H645" s="33" t="n">
        <v>69</v>
      </c>
      <c r="I645" s="45" t="n">
        <f aca="false">G645*((100-H645)/100)</f>
        <v>2.9698</v>
      </c>
      <c r="J645" s="35"/>
      <c r="K645" s="36" t="n">
        <f aca="false">+F645*J645</f>
        <v>0</v>
      </c>
      <c r="L645" s="37" t="n">
        <f aca="false">I645*K645</f>
        <v>0</v>
      </c>
    </row>
    <row r="646" customFormat="false" ht="15" hidden="false" customHeight="false" outlineLevel="0" collapsed="false">
      <c r="A646" s="32" t="s">
        <v>1308</v>
      </c>
      <c r="B646" s="32" t="s">
        <v>23</v>
      </c>
      <c r="C646" s="32" t="s">
        <v>1309</v>
      </c>
      <c r="D646" s="32" t="s">
        <v>731</v>
      </c>
      <c r="E646" s="33" t="n">
        <v>8430942331979</v>
      </c>
      <c r="F646" s="33" t="n">
        <v>1</v>
      </c>
      <c r="G646" s="34" t="n">
        <v>10.16</v>
      </c>
      <c r="H646" s="33" t="n">
        <v>69</v>
      </c>
      <c r="I646" s="45" t="n">
        <f aca="false">G646*((100-H646)/100)</f>
        <v>3.1496</v>
      </c>
      <c r="J646" s="35"/>
      <c r="K646" s="36" t="n">
        <f aca="false">+F646*J646</f>
        <v>0</v>
      </c>
      <c r="L646" s="37" t="n">
        <f aca="false">I646*K646</f>
        <v>0</v>
      </c>
    </row>
    <row r="647" customFormat="false" ht="15" hidden="false" customHeight="false" outlineLevel="0" collapsed="false">
      <c r="A647" s="32" t="s">
        <v>1310</v>
      </c>
      <c r="B647" s="32" t="s">
        <v>23</v>
      </c>
      <c r="C647" s="32" t="s">
        <v>1311</v>
      </c>
      <c r="D647" s="32" t="s">
        <v>731</v>
      </c>
      <c r="E647" s="33" t="n">
        <v>8430942331986</v>
      </c>
      <c r="F647" s="33" t="n">
        <v>1</v>
      </c>
      <c r="G647" s="34" t="n">
        <v>16.19</v>
      </c>
      <c r="H647" s="33" t="n">
        <v>69</v>
      </c>
      <c r="I647" s="45" t="n">
        <f aca="false">G647*((100-H647)/100)</f>
        <v>5.0189</v>
      </c>
      <c r="J647" s="35"/>
      <c r="K647" s="36" t="n">
        <f aca="false">+F647*J647</f>
        <v>0</v>
      </c>
      <c r="L647" s="37" t="n">
        <f aca="false">I647*K647</f>
        <v>0</v>
      </c>
    </row>
    <row r="648" customFormat="false" ht="15" hidden="false" customHeight="false" outlineLevel="0" collapsed="false">
      <c r="A648" s="32" t="s">
        <v>1312</v>
      </c>
      <c r="B648" s="32" t="s">
        <v>23</v>
      </c>
      <c r="C648" s="32" t="s">
        <v>1313</v>
      </c>
      <c r="D648" s="32" t="s">
        <v>731</v>
      </c>
      <c r="E648" s="33" t="n">
        <v>8430942331993</v>
      </c>
      <c r="F648" s="33" t="n">
        <v>1</v>
      </c>
      <c r="G648" s="34" t="n">
        <v>26.41</v>
      </c>
      <c r="H648" s="33" t="n">
        <v>69</v>
      </c>
      <c r="I648" s="45" t="n">
        <f aca="false">G648*((100-H648)/100)</f>
        <v>8.1871</v>
      </c>
      <c r="J648" s="35"/>
      <c r="K648" s="36" t="n">
        <f aca="false">+F648*J648</f>
        <v>0</v>
      </c>
      <c r="L648" s="37" t="n">
        <f aca="false">I648*K648</f>
        <v>0</v>
      </c>
    </row>
    <row r="649" customFormat="false" ht="15" hidden="false" customHeight="false" outlineLevel="0" collapsed="false">
      <c r="A649" s="32" t="s">
        <v>1314</v>
      </c>
      <c r="B649" s="32" t="s">
        <v>23</v>
      </c>
      <c r="C649" s="32" t="s">
        <v>1315</v>
      </c>
      <c r="D649" s="32" t="s">
        <v>25</v>
      </c>
      <c r="E649" s="33" t="n">
        <v>8430942002343</v>
      </c>
      <c r="F649" s="33" t="n">
        <v>1</v>
      </c>
      <c r="G649" s="34" t="n">
        <v>121.54</v>
      </c>
      <c r="H649" s="33" t="n">
        <v>69</v>
      </c>
      <c r="I649" s="34" t="n">
        <f aca="false">G649*((100-H649)/100)</f>
        <v>37.6774</v>
      </c>
      <c r="J649" s="35"/>
      <c r="K649" s="36" t="n">
        <f aca="false">+F649*J649</f>
        <v>0</v>
      </c>
      <c r="L649" s="37" t="n">
        <f aca="false">I649*K649</f>
        <v>0</v>
      </c>
    </row>
    <row r="650" customFormat="false" ht="15" hidden="false" customHeight="false" outlineLevel="0" collapsed="false">
      <c r="A650" s="32" t="s">
        <v>1316</v>
      </c>
      <c r="B650" s="32" t="s">
        <v>23</v>
      </c>
      <c r="C650" s="32" t="s">
        <v>1317</v>
      </c>
      <c r="D650" s="32" t="s">
        <v>25</v>
      </c>
      <c r="E650" s="33" t="n">
        <v>8430942027971</v>
      </c>
      <c r="F650" s="33" t="n">
        <v>1</v>
      </c>
      <c r="G650" s="34" t="n">
        <v>133.85</v>
      </c>
      <c r="H650" s="33" t="n">
        <v>69</v>
      </c>
      <c r="I650" s="34" t="n">
        <f aca="false">G650*((100-H650)/100)</f>
        <v>41.4935</v>
      </c>
      <c r="J650" s="35"/>
      <c r="K650" s="36" t="n">
        <f aca="false">+F650*J650</f>
        <v>0</v>
      </c>
      <c r="L650" s="37" t="n">
        <f aca="false">I650*K650</f>
        <v>0</v>
      </c>
    </row>
    <row r="651" customFormat="false" ht="15" hidden="false" customHeight="false" outlineLevel="0" collapsed="false">
      <c r="A651" s="32" t="s">
        <v>1318</v>
      </c>
      <c r="B651" s="32" t="s">
        <v>23</v>
      </c>
      <c r="C651" s="32" t="s">
        <v>1319</v>
      </c>
      <c r="D651" s="32" t="s">
        <v>25</v>
      </c>
      <c r="E651" s="33" t="n">
        <v>8430942031145</v>
      </c>
      <c r="F651" s="33" t="n">
        <v>1</v>
      </c>
      <c r="G651" s="34" t="n">
        <v>142.12</v>
      </c>
      <c r="H651" s="33" t="n">
        <v>69</v>
      </c>
      <c r="I651" s="34" t="n">
        <f aca="false">G651*((100-H651)/100)</f>
        <v>44.0572</v>
      </c>
      <c r="J651" s="35"/>
      <c r="K651" s="36" t="n">
        <f aca="false">+F651*J651</f>
        <v>0</v>
      </c>
      <c r="L651" s="37" t="n">
        <f aca="false">I651*K651</f>
        <v>0</v>
      </c>
    </row>
    <row r="652" customFormat="false" ht="15" hidden="false" customHeight="false" outlineLevel="0" collapsed="false">
      <c r="A652" s="32" t="s">
        <v>1320</v>
      </c>
      <c r="B652" s="32" t="s">
        <v>23</v>
      </c>
      <c r="C652" s="32" t="s">
        <v>1321</v>
      </c>
      <c r="D652" s="32" t="s">
        <v>25</v>
      </c>
      <c r="E652" s="33" t="n">
        <v>8430942027926</v>
      </c>
      <c r="F652" s="33" t="n">
        <v>1</v>
      </c>
      <c r="G652" s="34" t="n">
        <v>166.92</v>
      </c>
      <c r="H652" s="33" t="n">
        <v>69</v>
      </c>
      <c r="I652" s="34" t="n">
        <f aca="false">G652*((100-H652)/100)</f>
        <v>51.7452</v>
      </c>
      <c r="J652" s="35"/>
      <c r="K652" s="36" t="n">
        <f aca="false">+F652*J652</f>
        <v>0</v>
      </c>
      <c r="L652" s="37" t="n">
        <f aca="false">I652*K652</f>
        <v>0</v>
      </c>
    </row>
    <row r="653" customFormat="false" ht="15" hidden="false" customHeight="false" outlineLevel="0" collapsed="false">
      <c r="A653" s="32" t="s">
        <v>1322</v>
      </c>
      <c r="B653" s="32" t="s">
        <v>23</v>
      </c>
      <c r="C653" s="32" t="s">
        <v>1323</v>
      </c>
      <c r="D653" s="32" t="s">
        <v>25</v>
      </c>
      <c r="E653" s="33" t="n">
        <v>8430942031138</v>
      </c>
      <c r="F653" s="33" t="n">
        <v>1</v>
      </c>
      <c r="G653" s="34" t="n">
        <v>200.38</v>
      </c>
      <c r="H653" s="33" t="n">
        <v>69</v>
      </c>
      <c r="I653" s="34" t="n">
        <f aca="false">G653*((100-H653)/100)</f>
        <v>62.1178</v>
      </c>
      <c r="J653" s="35"/>
      <c r="K653" s="36" t="n">
        <f aca="false">+F653*J653</f>
        <v>0</v>
      </c>
      <c r="L653" s="37" t="n">
        <f aca="false">I653*K653</f>
        <v>0</v>
      </c>
    </row>
    <row r="654" customFormat="false" ht="15" hidden="false" customHeight="false" outlineLevel="0" collapsed="false">
      <c r="A654" s="32" t="s">
        <v>1324</v>
      </c>
      <c r="B654" s="32" t="s">
        <v>23</v>
      </c>
      <c r="C654" s="32" t="s">
        <v>1325</v>
      </c>
      <c r="D654" s="32" t="s">
        <v>25</v>
      </c>
      <c r="E654" s="33" t="n">
        <v>8430942027889</v>
      </c>
      <c r="F654" s="33" t="n">
        <v>1</v>
      </c>
      <c r="G654" s="34" t="n">
        <v>230.19</v>
      </c>
      <c r="H654" s="33" t="n">
        <v>69</v>
      </c>
      <c r="I654" s="34" t="n">
        <f aca="false">G654*((100-H654)/100)</f>
        <v>71.3589</v>
      </c>
      <c r="J654" s="35"/>
      <c r="K654" s="36" t="n">
        <f aca="false">+F654*J654</f>
        <v>0</v>
      </c>
      <c r="L654" s="37" t="n">
        <f aca="false">I654*K654</f>
        <v>0</v>
      </c>
    </row>
    <row r="655" customFormat="false" ht="15" hidden="false" customHeight="false" outlineLevel="0" collapsed="false">
      <c r="A655" s="32" t="s">
        <v>1326</v>
      </c>
      <c r="B655" s="32" t="s">
        <v>23</v>
      </c>
      <c r="C655" s="32" t="s">
        <v>1327</v>
      </c>
      <c r="D655" s="32" t="s">
        <v>25</v>
      </c>
      <c r="E655" s="33" t="n">
        <v>8430942329129</v>
      </c>
      <c r="F655" s="33" t="n">
        <v>1</v>
      </c>
      <c r="G655" s="34" t="n">
        <v>279.23</v>
      </c>
      <c r="H655" s="33" t="n">
        <v>69</v>
      </c>
      <c r="I655" s="34" t="n">
        <f aca="false">G655*((100-H655)/100)</f>
        <v>86.5613</v>
      </c>
      <c r="J655" s="35"/>
      <c r="K655" s="36" t="n">
        <f aca="false">+F655*J655</f>
        <v>0</v>
      </c>
      <c r="L655" s="37" t="n">
        <f aca="false">I655*K655</f>
        <v>0</v>
      </c>
    </row>
    <row r="656" customFormat="false" ht="15" hidden="false" customHeight="false" outlineLevel="0" collapsed="false">
      <c r="A656" s="32" t="s">
        <v>1328</v>
      </c>
      <c r="B656" s="32" t="s">
        <v>23</v>
      </c>
      <c r="C656" s="32" t="s">
        <v>1329</v>
      </c>
      <c r="D656" s="32" t="s">
        <v>25</v>
      </c>
      <c r="E656" s="33" t="n">
        <v>8430942027803</v>
      </c>
      <c r="F656" s="33" t="n">
        <v>1</v>
      </c>
      <c r="G656" s="34" t="n">
        <v>352.69</v>
      </c>
      <c r="H656" s="33" t="n">
        <v>69</v>
      </c>
      <c r="I656" s="34" t="n">
        <f aca="false">G656*((100-H656)/100)</f>
        <v>109.3339</v>
      </c>
      <c r="J656" s="35"/>
      <c r="K656" s="36" t="n">
        <f aca="false">+F656*J656</f>
        <v>0</v>
      </c>
      <c r="L656" s="37" t="n">
        <f aca="false">I656*K656</f>
        <v>0</v>
      </c>
    </row>
    <row r="657" customFormat="false" ht="15" hidden="false" customHeight="false" outlineLevel="0" collapsed="false">
      <c r="A657" s="32" t="s">
        <v>1330</v>
      </c>
      <c r="B657" s="32" t="s">
        <v>23</v>
      </c>
      <c r="C657" s="32" t="s">
        <v>1331</v>
      </c>
      <c r="D657" s="32" t="s">
        <v>25</v>
      </c>
      <c r="E657" s="33" t="n">
        <v>8430942005252</v>
      </c>
      <c r="F657" s="33" t="n">
        <v>1</v>
      </c>
      <c r="G657" s="34" t="n">
        <v>97.88</v>
      </c>
      <c r="H657" s="33" t="n">
        <v>69</v>
      </c>
      <c r="I657" s="34" t="n">
        <f aca="false">G657*((100-H657)/100)</f>
        <v>30.3428</v>
      </c>
      <c r="J657" s="35"/>
      <c r="K657" s="36" t="n">
        <f aca="false">+F657*J657</f>
        <v>0</v>
      </c>
      <c r="L657" s="37" t="n">
        <f aca="false">I657*K657</f>
        <v>0</v>
      </c>
    </row>
    <row r="658" customFormat="false" ht="15" hidden="false" customHeight="false" outlineLevel="0" collapsed="false">
      <c r="A658" s="32" t="s">
        <v>1332</v>
      </c>
      <c r="B658" s="32" t="s">
        <v>23</v>
      </c>
      <c r="C658" s="32" t="s">
        <v>1333</v>
      </c>
      <c r="D658" s="32" t="s">
        <v>25</v>
      </c>
      <c r="E658" s="33" t="n">
        <v>8430942027957</v>
      </c>
      <c r="F658" s="33" t="n">
        <v>1</v>
      </c>
      <c r="G658" s="34" t="n">
        <v>105.77</v>
      </c>
      <c r="H658" s="33" t="n">
        <v>69</v>
      </c>
      <c r="I658" s="34" t="n">
        <f aca="false">G658*((100-H658)/100)</f>
        <v>32.7887</v>
      </c>
      <c r="J658" s="35"/>
      <c r="K658" s="36" t="n">
        <f aca="false">+F658*J658</f>
        <v>0</v>
      </c>
      <c r="L658" s="37" t="n">
        <f aca="false">I658*K658</f>
        <v>0</v>
      </c>
    </row>
    <row r="659" customFormat="false" ht="15" hidden="false" customHeight="false" outlineLevel="0" collapsed="false">
      <c r="A659" s="32" t="s">
        <v>1334</v>
      </c>
      <c r="B659" s="32" t="s">
        <v>23</v>
      </c>
      <c r="C659" s="32" t="s">
        <v>1335</v>
      </c>
      <c r="D659" s="32" t="s">
        <v>25</v>
      </c>
      <c r="E659" s="33" t="n">
        <v>8430942031022</v>
      </c>
      <c r="F659" s="33" t="n">
        <v>1</v>
      </c>
      <c r="G659" s="34" t="n">
        <v>109.62</v>
      </c>
      <c r="H659" s="33" t="n">
        <v>69</v>
      </c>
      <c r="I659" s="34" t="n">
        <f aca="false">G659*((100-H659)/100)</f>
        <v>33.9822</v>
      </c>
      <c r="J659" s="35"/>
      <c r="K659" s="36" t="n">
        <f aca="false">+F659*J659</f>
        <v>0</v>
      </c>
      <c r="L659" s="37" t="n">
        <f aca="false">I659*K659</f>
        <v>0</v>
      </c>
    </row>
    <row r="660" customFormat="false" ht="15" hidden="false" customHeight="false" outlineLevel="0" collapsed="false">
      <c r="A660" s="32" t="s">
        <v>1336</v>
      </c>
      <c r="B660" s="32" t="s">
        <v>23</v>
      </c>
      <c r="C660" s="32" t="s">
        <v>1337</v>
      </c>
      <c r="D660" s="32" t="s">
        <v>25</v>
      </c>
      <c r="E660" s="33" t="n">
        <v>8430942027896</v>
      </c>
      <c r="F660" s="33" t="n">
        <v>1</v>
      </c>
      <c r="G660" s="34" t="n">
        <v>122.31</v>
      </c>
      <c r="H660" s="33" t="n">
        <v>69</v>
      </c>
      <c r="I660" s="34" t="n">
        <f aca="false">G660*((100-H660)/100)</f>
        <v>37.9161</v>
      </c>
      <c r="J660" s="35"/>
      <c r="K660" s="36" t="n">
        <f aca="false">+F660*J660</f>
        <v>0</v>
      </c>
      <c r="L660" s="37" t="n">
        <f aca="false">I660*K660</f>
        <v>0</v>
      </c>
    </row>
    <row r="661" customFormat="false" ht="15" hidden="false" customHeight="false" outlineLevel="0" collapsed="false">
      <c r="A661" s="32" t="s">
        <v>1338</v>
      </c>
      <c r="B661" s="32" t="s">
        <v>23</v>
      </c>
      <c r="C661" s="32" t="s">
        <v>1339</v>
      </c>
      <c r="D661" s="32" t="s">
        <v>25</v>
      </c>
      <c r="E661" s="33" t="n">
        <v>8430942033910</v>
      </c>
      <c r="F661" s="33" t="n">
        <v>1</v>
      </c>
      <c r="G661" s="34" t="n">
        <v>148.08</v>
      </c>
      <c r="H661" s="33" t="n">
        <v>69</v>
      </c>
      <c r="I661" s="34" t="n">
        <f aca="false">G661*((100-H661)/100)</f>
        <v>45.9048</v>
      </c>
      <c r="J661" s="35"/>
      <c r="K661" s="36" t="n">
        <f aca="false">+F661*J661</f>
        <v>0</v>
      </c>
      <c r="L661" s="37" t="n">
        <f aca="false">I661*K661</f>
        <v>0</v>
      </c>
    </row>
    <row r="662" customFormat="false" ht="15" hidden="false" customHeight="false" outlineLevel="0" collapsed="false">
      <c r="A662" s="32" t="s">
        <v>1340</v>
      </c>
      <c r="B662" s="32" t="s">
        <v>23</v>
      </c>
      <c r="C662" s="32" t="s">
        <v>1341</v>
      </c>
      <c r="D662" s="32" t="s">
        <v>25</v>
      </c>
      <c r="E662" s="33" t="n">
        <v>8430942027865</v>
      </c>
      <c r="F662" s="33" t="n">
        <v>1</v>
      </c>
      <c r="G662" s="34" t="n">
        <v>167.69</v>
      </c>
      <c r="H662" s="33" t="n">
        <v>69</v>
      </c>
      <c r="I662" s="34" t="n">
        <f aca="false">G662*((100-H662)/100)</f>
        <v>51.9839</v>
      </c>
      <c r="J662" s="35"/>
      <c r="K662" s="36" t="n">
        <f aca="false">+F662*J662</f>
        <v>0</v>
      </c>
      <c r="L662" s="37" t="n">
        <f aca="false">I662*K662</f>
        <v>0</v>
      </c>
    </row>
    <row r="663" customFormat="false" ht="15" hidden="false" customHeight="false" outlineLevel="0" collapsed="false">
      <c r="A663" s="32" t="s">
        <v>1342</v>
      </c>
      <c r="B663" s="32" t="s">
        <v>23</v>
      </c>
      <c r="C663" s="32" t="s">
        <v>1343</v>
      </c>
      <c r="D663" s="32" t="s">
        <v>25</v>
      </c>
      <c r="E663" s="33" t="n">
        <v>8430942002596</v>
      </c>
      <c r="F663" s="33" t="n">
        <v>1</v>
      </c>
      <c r="G663" s="34" t="n">
        <v>189.35</v>
      </c>
      <c r="H663" s="33" t="n">
        <v>69</v>
      </c>
      <c r="I663" s="34" t="n">
        <f aca="false">G663*((100-H663)/100)</f>
        <v>58.6985</v>
      </c>
      <c r="J663" s="35"/>
      <c r="K663" s="36" t="n">
        <f aca="false">+F663*J663</f>
        <v>0</v>
      </c>
      <c r="L663" s="37" t="n">
        <f aca="false">I663*K663</f>
        <v>0</v>
      </c>
    </row>
    <row r="664" customFormat="false" ht="15" hidden="false" customHeight="false" outlineLevel="0" collapsed="false">
      <c r="A664" s="32" t="s">
        <v>1344</v>
      </c>
      <c r="B664" s="32" t="s">
        <v>23</v>
      </c>
      <c r="C664" s="32" t="s">
        <v>1345</v>
      </c>
      <c r="D664" s="32" t="s">
        <v>25</v>
      </c>
      <c r="E664" s="33" t="n">
        <v>8430942329136</v>
      </c>
      <c r="F664" s="33" t="n">
        <v>1</v>
      </c>
      <c r="G664" s="34" t="n">
        <v>235.92</v>
      </c>
      <c r="H664" s="33" t="n">
        <v>69</v>
      </c>
      <c r="I664" s="34" t="n">
        <f aca="false">G664*((100-H664)/100)</f>
        <v>73.1352</v>
      </c>
      <c r="J664" s="35"/>
      <c r="K664" s="36" t="n">
        <f aca="false">+F664*J664</f>
        <v>0</v>
      </c>
      <c r="L664" s="37" t="n">
        <f aca="false">I664*K664</f>
        <v>0</v>
      </c>
    </row>
    <row r="665" customFormat="false" ht="15" hidden="false" customHeight="false" outlineLevel="0" collapsed="false">
      <c r="A665" s="32" t="s">
        <v>1346</v>
      </c>
      <c r="B665" s="32" t="s">
        <v>23</v>
      </c>
      <c r="C665" s="32" t="s">
        <v>1347</v>
      </c>
      <c r="D665" s="32" t="s">
        <v>25</v>
      </c>
      <c r="E665" s="33" t="n">
        <v>8430942027995</v>
      </c>
      <c r="F665" s="33" t="n">
        <v>1</v>
      </c>
      <c r="G665" s="34" t="n">
        <v>54.04</v>
      </c>
      <c r="H665" s="33" t="n">
        <v>69</v>
      </c>
      <c r="I665" s="34" t="n">
        <f aca="false">G665*((100-H665)/100)</f>
        <v>16.7524</v>
      </c>
      <c r="J665" s="35"/>
      <c r="K665" s="36" t="n">
        <f aca="false">+F665*J665</f>
        <v>0</v>
      </c>
      <c r="L665" s="37" t="n">
        <f aca="false">I665*K665</f>
        <v>0</v>
      </c>
    </row>
    <row r="666" customFormat="false" ht="15" hidden="false" customHeight="false" outlineLevel="0" collapsed="false">
      <c r="A666" s="32" t="s">
        <v>1348</v>
      </c>
      <c r="B666" s="32" t="s">
        <v>23</v>
      </c>
      <c r="C666" s="32" t="s">
        <v>1349</v>
      </c>
      <c r="D666" s="32" t="s">
        <v>25</v>
      </c>
      <c r="E666" s="33" t="n">
        <v>8430942027964</v>
      </c>
      <c r="F666" s="33" t="n">
        <v>1</v>
      </c>
      <c r="G666" s="34" t="n">
        <v>64.86</v>
      </c>
      <c r="H666" s="33" t="n">
        <v>69</v>
      </c>
      <c r="I666" s="34" t="n">
        <f aca="false">G666*((100-H666)/100)</f>
        <v>20.1066</v>
      </c>
      <c r="J666" s="35"/>
      <c r="K666" s="36" t="n">
        <f aca="false">+F666*J666</f>
        <v>0</v>
      </c>
      <c r="L666" s="37" t="n">
        <f aca="false">I666*K666</f>
        <v>0</v>
      </c>
    </row>
    <row r="667" customFormat="false" ht="15" hidden="false" customHeight="false" outlineLevel="0" collapsed="false">
      <c r="A667" s="32" t="s">
        <v>1350</v>
      </c>
      <c r="B667" s="32" t="s">
        <v>23</v>
      </c>
      <c r="C667" s="32" t="s">
        <v>1351</v>
      </c>
      <c r="D667" s="32" t="s">
        <v>25</v>
      </c>
      <c r="E667" s="33" t="n">
        <v>8430942031275</v>
      </c>
      <c r="F667" s="33" t="n">
        <v>1</v>
      </c>
      <c r="G667" s="34" t="n">
        <v>66.52</v>
      </c>
      <c r="H667" s="33" t="n">
        <v>69</v>
      </c>
      <c r="I667" s="34" t="n">
        <f aca="false">G667*((100-H667)/100)</f>
        <v>20.6212</v>
      </c>
      <c r="J667" s="35"/>
      <c r="K667" s="36" t="n">
        <f aca="false">+F667*J667</f>
        <v>0</v>
      </c>
      <c r="L667" s="37" t="n">
        <f aca="false">I667*K667</f>
        <v>0</v>
      </c>
    </row>
    <row r="668" customFormat="false" ht="15" hidden="false" customHeight="false" outlineLevel="0" collapsed="false">
      <c r="A668" s="32" t="s">
        <v>1352</v>
      </c>
      <c r="B668" s="32" t="s">
        <v>23</v>
      </c>
      <c r="C668" s="32" t="s">
        <v>1353</v>
      </c>
      <c r="D668" s="32" t="s">
        <v>25</v>
      </c>
      <c r="E668" s="33" t="n">
        <v>8430942027902</v>
      </c>
      <c r="F668" s="33" t="n">
        <v>1</v>
      </c>
      <c r="G668" s="34" t="n">
        <v>73.27</v>
      </c>
      <c r="H668" s="33" t="n">
        <v>69</v>
      </c>
      <c r="I668" s="34" t="n">
        <f aca="false">G668*((100-H668)/100)</f>
        <v>22.7137</v>
      </c>
      <c r="J668" s="35"/>
      <c r="K668" s="36" t="n">
        <f aca="false">+F668*J668</f>
        <v>0</v>
      </c>
      <c r="L668" s="37" t="n">
        <f aca="false">I668*K668</f>
        <v>0</v>
      </c>
    </row>
    <row r="669" customFormat="false" ht="15" hidden="false" customHeight="false" outlineLevel="0" collapsed="false">
      <c r="A669" s="32" t="s">
        <v>1354</v>
      </c>
      <c r="B669" s="32" t="s">
        <v>23</v>
      </c>
      <c r="C669" s="32" t="s">
        <v>1355</v>
      </c>
      <c r="D669" s="32" t="s">
        <v>25</v>
      </c>
      <c r="E669" s="33" t="n">
        <v>8430942031015</v>
      </c>
      <c r="F669" s="33" t="n">
        <v>1</v>
      </c>
      <c r="G669" s="34" t="n">
        <v>101.92</v>
      </c>
      <c r="H669" s="33" t="n">
        <v>69</v>
      </c>
      <c r="I669" s="34" t="n">
        <f aca="false">G669*((100-H669)/100)</f>
        <v>31.5952</v>
      </c>
      <c r="J669" s="35"/>
      <c r="K669" s="36" t="n">
        <f aca="false">+F669*J669</f>
        <v>0</v>
      </c>
      <c r="L669" s="37" t="n">
        <f aca="false">I669*K669</f>
        <v>0</v>
      </c>
    </row>
    <row r="670" customFormat="false" ht="15" hidden="false" customHeight="false" outlineLevel="0" collapsed="false">
      <c r="A670" s="32" t="s">
        <v>1356</v>
      </c>
      <c r="B670" s="32" t="s">
        <v>23</v>
      </c>
      <c r="C670" s="32" t="s">
        <v>1357</v>
      </c>
      <c r="D670" s="32" t="s">
        <v>25</v>
      </c>
      <c r="E670" s="33" t="n">
        <v>8430942027872</v>
      </c>
      <c r="F670" s="33" t="n">
        <v>1</v>
      </c>
      <c r="G670" s="34" t="n">
        <v>110.77</v>
      </c>
      <c r="H670" s="33" t="n">
        <v>69</v>
      </c>
      <c r="I670" s="34" t="n">
        <f aca="false">G670*((100-H670)/100)</f>
        <v>34.3387</v>
      </c>
      <c r="J670" s="35"/>
      <c r="K670" s="36" t="n">
        <f aca="false">+F670*J670</f>
        <v>0</v>
      </c>
      <c r="L670" s="37" t="n">
        <f aca="false">I670*K670</f>
        <v>0</v>
      </c>
    </row>
    <row r="671" customFormat="false" ht="15" hidden="false" customHeight="false" outlineLevel="0" collapsed="false">
      <c r="A671" s="32" t="s">
        <v>1358</v>
      </c>
      <c r="B671" s="32" t="s">
        <v>23</v>
      </c>
      <c r="C671" s="32" t="s">
        <v>1359</v>
      </c>
      <c r="D671" s="32" t="s">
        <v>25</v>
      </c>
      <c r="E671" s="33" t="n">
        <v>8430942027810</v>
      </c>
      <c r="F671" s="33" t="n">
        <v>1</v>
      </c>
      <c r="G671" s="34" t="n">
        <v>135</v>
      </c>
      <c r="H671" s="33" t="n">
        <v>69</v>
      </c>
      <c r="I671" s="34" t="n">
        <f aca="false">G671*((100-H671)/100)</f>
        <v>41.85</v>
      </c>
      <c r="J671" s="35"/>
      <c r="K671" s="36" t="n">
        <f aca="false">+F671*J671</f>
        <v>0</v>
      </c>
      <c r="L671" s="37" t="n">
        <f aca="false">I671*K671</f>
        <v>0</v>
      </c>
    </row>
    <row r="672" customFormat="false" ht="15" hidden="false" customHeight="false" outlineLevel="0" collapsed="false">
      <c r="A672" s="32" t="s">
        <v>1360</v>
      </c>
      <c r="B672" s="32" t="s">
        <v>23</v>
      </c>
      <c r="C672" s="32" t="s">
        <v>1361</v>
      </c>
      <c r="D672" s="32" t="s">
        <v>25</v>
      </c>
      <c r="E672" s="33" t="n">
        <v>8430942027780</v>
      </c>
      <c r="F672" s="33" t="n">
        <v>1</v>
      </c>
      <c r="G672" s="34" t="n">
        <v>166.31</v>
      </c>
      <c r="H672" s="33" t="n">
        <v>69</v>
      </c>
      <c r="I672" s="34" t="n">
        <f aca="false">G672*((100-H672)/100)</f>
        <v>51.5561</v>
      </c>
      <c r="J672" s="35"/>
      <c r="K672" s="36" t="n">
        <f aca="false">+F672*J672</f>
        <v>0</v>
      </c>
      <c r="L672" s="37" t="n">
        <f aca="false">I672*K672</f>
        <v>0</v>
      </c>
    </row>
    <row r="673" customFormat="false" ht="15" hidden="false" customHeight="false" outlineLevel="0" collapsed="false">
      <c r="A673" s="32" t="s">
        <v>1362</v>
      </c>
      <c r="B673" s="32" t="s">
        <v>23</v>
      </c>
      <c r="C673" s="32" t="s">
        <v>1363</v>
      </c>
      <c r="D673" s="32" t="s">
        <v>1364</v>
      </c>
      <c r="E673" s="33" t="n">
        <v>8430942027773</v>
      </c>
      <c r="F673" s="33" t="n">
        <v>1</v>
      </c>
      <c r="G673" s="34" t="n">
        <v>126.54</v>
      </c>
      <c r="H673" s="33" t="n">
        <v>69</v>
      </c>
      <c r="I673" s="34" t="n">
        <f aca="false">G673*((100-H673)/100)</f>
        <v>39.2274</v>
      </c>
      <c r="J673" s="35"/>
      <c r="K673" s="36" t="n">
        <f aca="false">+F673*J673</f>
        <v>0</v>
      </c>
      <c r="L673" s="37" t="n">
        <f aca="false">I673*K673</f>
        <v>0</v>
      </c>
    </row>
    <row r="674" customFormat="false" ht="15" hidden="false" customHeight="false" outlineLevel="0" collapsed="false">
      <c r="A674" s="32" t="s">
        <v>1365</v>
      </c>
      <c r="B674" s="32" t="s">
        <v>23</v>
      </c>
      <c r="C674" s="32" t="s">
        <v>1366</v>
      </c>
      <c r="D674" s="32" t="s">
        <v>1364</v>
      </c>
      <c r="E674" s="33" t="n">
        <v>8430942329143</v>
      </c>
      <c r="F674" s="33" t="n">
        <v>1</v>
      </c>
      <c r="G674" s="34" t="n">
        <v>135.38</v>
      </c>
      <c r="H674" s="33" t="n">
        <v>69</v>
      </c>
      <c r="I674" s="34" t="n">
        <f aca="false">G674*((100-H674)/100)</f>
        <v>41.9678</v>
      </c>
      <c r="J674" s="35"/>
      <c r="K674" s="36" t="n">
        <f aca="false">+F674*J674</f>
        <v>0</v>
      </c>
      <c r="L674" s="37" t="n">
        <f aca="false">I674*K674</f>
        <v>0</v>
      </c>
    </row>
    <row r="675" customFormat="false" ht="15" hidden="false" customHeight="false" outlineLevel="0" collapsed="false">
      <c r="A675" s="32" t="s">
        <v>1367</v>
      </c>
      <c r="B675" s="32" t="s">
        <v>23</v>
      </c>
      <c r="C675" s="32" t="s">
        <v>1368</v>
      </c>
      <c r="D675" s="32" t="s">
        <v>1364</v>
      </c>
      <c r="E675" s="33" t="n">
        <v>8430942033538</v>
      </c>
      <c r="F675" s="33" t="n">
        <v>1</v>
      </c>
      <c r="G675" s="34" t="n">
        <v>144.56</v>
      </c>
      <c r="H675" s="33" t="n">
        <v>69</v>
      </c>
      <c r="I675" s="34" t="n">
        <f aca="false">G675*((100-H675)/100)</f>
        <v>44.8136</v>
      </c>
      <c r="J675" s="35"/>
      <c r="K675" s="36" t="n">
        <f aca="false">+F675*J675</f>
        <v>0</v>
      </c>
      <c r="L675" s="37" t="n">
        <f aca="false">I675*K675</f>
        <v>0</v>
      </c>
    </row>
    <row r="676" customFormat="false" ht="15" hidden="false" customHeight="false" outlineLevel="0" collapsed="false">
      <c r="A676" s="32" t="s">
        <v>1369</v>
      </c>
      <c r="B676" s="32" t="s">
        <v>23</v>
      </c>
      <c r="C676" s="32" t="s">
        <v>1370</v>
      </c>
      <c r="D676" s="32" t="s">
        <v>1364</v>
      </c>
      <c r="E676" s="33" t="n">
        <v>8430942306106</v>
      </c>
      <c r="F676" s="33" t="n">
        <v>1</v>
      </c>
      <c r="G676" s="34" t="n">
        <v>159.42</v>
      </c>
      <c r="H676" s="33" t="n">
        <v>69</v>
      </c>
      <c r="I676" s="34" t="n">
        <f aca="false">G676*((100-H676)/100)</f>
        <v>49.4202</v>
      </c>
      <c r="J676" s="35"/>
      <c r="K676" s="36" t="n">
        <f aca="false">+F676*J676</f>
        <v>0</v>
      </c>
      <c r="L676" s="37" t="n">
        <f aca="false">I676*K676</f>
        <v>0</v>
      </c>
    </row>
    <row r="677" customFormat="false" ht="15" hidden="false" customHeight="false" outlineLevel="0" collapsed="false">
      <c r="A677" s="32" t="s">
        <v>1371</v>
      </c>
      <c r="B677" s="32" t="s">
        <v>23</v>
      </c>
      <c r="C677" s="32" t="s">
        <v>1372</v>
      </c>
      <c r="D677" s="32" t="s">
        <v>1364</v>
      </c>
      <c r="E677" s="33" t="n">
        <v>8430942033545</v>
      </c>
      <c r="F677" s="33" t="n">
        <v>1</v>
      </c>
      <c r="G677" s="34" t="n">
        <v>198.85</v>
      </c>
      <c r="H677" s="33" t="n">
        <v>69</v>
      </c>
      <c r="I677" s="34" t="n">
        <f aca="false">G677*((100-H677)/100)</f>
        <v>61.6435</v>
      </c>
      <c r="J677" s="35"/>
      <c r="K677" s="36" t="n">
        <f aca="false">+F677*J677</f>
        <v>0</v>
      </c>
      <c r="L677" s="37" t="n">
        <f aca="false">I677*K677</f>
        <v>0</v>
      </c>
    </row>
    <row r="678" customFormat="false" ht="15" hidden="false" customHeight="false" outlineLevel="0" collapsed="false">
      <c r="A678" s="32" t="s">
        <v>1373</v>
      </c>
      <c r="B678" s="32" t="s">
        <v>23</v>
      </c>
      <c r="C678" s="32" t="s">
        <v>1374</v>
      </c>
      <c r="D678" s="32" t="s">
        <v>1364</v>
      </c>
      <c r="E678" s="33" t="n">
        <v>8430942027698</v>
      </c>
      <c r="F678" s="33" t="n">
        <v>1</v>
      </c>
      <c r="G678" s="34" t="n">
        <v>216.54</v>
      </c>
      <c r="H678" s="33" t="n">
        <v>69</v>
      </c>
      <c r="I678" s="34" t="n">
        <f aca="false">G678*((100-H678)/100)</f>
        <v>67.1274</v>
      </c>
      <c r="J678" s="35"/>
      <c r="K678" s="36" t="n">
        <f aca="false">+F678*J678</f>
        <v>0</v>
      </c>
      <c r="L678" s="37" t="n">
        <f aca="false">I678*K678</f>
        <v>0</v>
      </c>
    </row>
    <row r="679" customFormat="false" ht="15" hidden="false" customHeight="false" outlineLevel="0" collapsed="false">
      <c r="A679" s="32" t="s">
        <v>1375</v>
      </c>
      <c r="B679" s="32" t="s">
        <v>23</v>
      </c>
      <c r="C679" s="32" t="s">
        <v>1376</v>
      </c>
      <c r="D679" s="32" t="s">
        <v>1364</v>
      </c>
      <c r="E679" s="33" t="n">
        <v>8430942329228</v>
      </c>
      <c r="F679" s="33" t="n">
        <v>1</v>
      </c>
      <c r="G679" s="34" t="n">
        <v>264.62</v>
      </c>
      <c r="H679" s="33" t="n">
        <v>69</v>
      </c>
      <c r="I679" s="34" t="n">
        <f aca="false">G679*((100-H679)/100)</f>
        <v>82.0322</v>
      </c>
      <c r="J679" s="35"/>
      <c r="K679" s="36" t="n">
        <f aca="false">+F679*J679</f>
        <v>0</v>
      </c>
      <c r="L679" s="37" t="n">
        <f aca="false">I679*K679</f>
        <v>0</v>
      </c>
    </row>
    <row r="680" customFormat="false" ht="15" hidden="false" customHeight="false" outlineLevel="0" collapsed="false">
      <c r="A680" s="32" t="s">
        <v>1377</v>
      </c>
      <c r="B680" s="32" t="s">
        <v>23</v>
      </c>
      <c r="C680" s="32" t="s">
        <v>1378</v>
      </c>
      <c r="D680" s="32" t="s">
        <v>1364</v>
      </c>
      <c r="E680" s="33" t="n">
        <v>8430942027650</v>
      </c>
      <c r="F680" s="33" t="n">
        <v>1</v>
      </c>
      <c r="G680" s="34" t="n">
        <v>325.38</v>
      </c>
      <c r="H680" s="33" t="n">
        <v>69</v>
      </c>
      <c r="I680" s="34" t="n">
        <f aca="false">G680*((100-H680)/100)</f>
        <v>100.8678</v>
      </c>
      <c r="J680" s="35"/>
      <c r="K680" s="36" t="n">
        <f aca="false">+F680*J680</f>
        <v>0</v>
      </c>
      <c r="L680" s="37" t="n">
        <f aca="false">I680*K680</f>
        <v>0</v>
      </c>
    </row>
    <row r="681" customFormat="false" ht="15" hidden="false" customHeight="false" outlineLevel="0" collapsed="false">
      <c r="A681" s="32" t="s">
        <v>1379</v>
      </c>
      <c r="B681" s="32" t="s">
        <v>23</v>
      </c>
      <c r="C681" s="32" t="s">
        <v>1380</v>
      </c>
      <c r="D681" s="32" t="s">
        <v>126</v>
      </c>
      <c r="E681" s="33" t="n">
        <v>8430942002442</v>
      </c>
      <c r="F681" s="33" t="n">
        <v>1</v>
      </c>
      <c r="G681" s="34" t="n">
        <v>91.93</v>
      </c>
      <c r="H681" s="33" t="n">
        <v>69</v>
      </c>
      <c r="I681" s="34" t="n">
        <f aca="false">G681*((100-H681)/100)</f>
        <v>28.4983</v>
      </c>
      <c r="J681" s="35"/>
      <c r="K681" s="36" t="n">
        <f aca="false">+F681*J681</f>
        <v>0</v>
      </c>
      <c r="L681" s="37" t="n">
        <f aca="false">I681*K681</f>
        <v>0</v>
      </c>
    </row>
    <row r="682" customFormat="false" ht="15" hidden="false" customHeight="false" outlineLevel="0" collapsed="false">
      <c r="A682" s="32" t="s">
        <v>1381</v>
      </c>
      <c r="B682" s="32" t="s">
        <v>23</v>
      </c>
      <c r="C682" s="32" t="s">
        <v>1382</v>
      </c>
      <c r="D682" s="32" t="s">
        <v>126</v>
      </c>
      <c r="E682" s="33" t="n">
        <v>8430942027629</v>
      </c>
      <c r="F682" s="33" t="n">
        <v>1</v>
      </c>
      <c r="G682" s="34" t="n">
        <v>97.65</v>
      </c>
      <c r="H682" s="33" t="n">
        <v>69</v>
      </c>
      <c r="I682" s="34" t="n">
        <f aca="false">G682*((100-H682)/100)</f>
        <v>30.2715</v>
      </c>
      <c r="J682" s="35"/>
      <c r="K682" s="36" t="n">
        <f aca="false">+F682*J682</f>
        <v>0</v>
      </c>
      <c r="L682" s="37" t="n">
        <f aca="false">I682*K682</f>
        <v>0</v>
      </c>
    </row>
    <row r="683" customFormat="false" ht="15" hidden="false" customHeight="false" outlineLevel="0" collapsed="false">
      <c r="A683" s="32" t="s">
        <v>1383</v>
      </c>
      <c r="B683" s="32" t="s">
        <v>23</v>
      </c>
      <c r="C683" s="32" t="s">
        <v>1384</v>
      </c>
      <c r="D683" s="32" t="s">
        <v>126</v>
      </c>
      <c r="E683" s="33" t="n">
        <v>8430942031541</v>
      </c>
      <c r="F683" s="33" t="n">
        <v>1</v>
      </c>
      <c r="G683" s="34" t="n">
        <v>98.76</v>
      </c>
      <c r="H683" s="33" t="n">
        <v>69</v>
      </c>
      <c r="I683" s="34" t="n">
        <f aca="false">G683*((100-H683)/100)</f>
        <v>30.6156</v>
      </c>
      <c r="J683" s="35"/>
      <c r="K683" s="36" t="n">
        <f aca="false">+F683*J683</f>
        <v>0</v>
      </c>
      <c r="L683" s="37" t="n">
        <f aca="false">I683*K683</f>
        <v>0</v>
      </c>
    </row>
    <row r="684" customFormat="false" ht="15" hidden="false" customHeight="false" outlineLevel="0" collapsed="false">
      <c r="A684" s="32" t="s">
        <v>1385</v>
      </c>
      <c r="B684" s="32" t="s">
        <v>23</v>
      </c>
      <c r="C684" s="32" t="s">
        <v>1386</v>
      </c>
      <c r="D684" s="32" t="s">
        <v>126</v>
      </c>
      <c r="E684" s="33" t="n">
        <v>8430942027605</v>
      </c>
      <c r="F684" s="33" t="n">
        <v>1</v>
      </c>
      <c r="G684" s="34" t="n">
        <v>112.5</v>
      </c>
      <c r="H684" s="33" t="n">
        <v>69</v>
      </c>
      <c r="I684" s="34" t="n">
        <f aca="false">G684*((100-H684)/100)</f>
        <v>34.875</v>
      </c>
      <c r="J684" s="35"/>
      <c r="K684" s="36" t="n">
        <f aca="false">+F684*J684</f>
        <v>0</v>
      </c>
      <c r="L684" s="37" t="n">
        <f aca="false">I684*K684</f>
        <v>0</v>
      </c>
    </row>
    <row r="685" customFormat="false" ht="15" hidden="false" customHeight="false" outlineLevel="0" collapsed="false">
      <c r="A685" s="32" t="s">
        <v>1387</v>
      </c>
      <c r="B685" s="32" t="s">
        <v>23</v>
      </c>
      <c r="C685" s="32" t="s">
        <v>1388</v>
      </c>
      <c r="D685" s="32" t="s">
        <v>126</v>
      </c>
      <c r="E685" s="33" t="n">
        <v>8430942044053</v>
      </c>
      <c r="F685" s="33" t="n">
        <v>1</v>
      </c>
      <c r="G685" s="34" t="n">
        <v>133.32</v>
      </c>
      <c r="H685" s="33" t="n">
        <v>69</v>
      </c>
      <c r="I685" s="34" t="n">
        <f aca="false">G685*((100-H685)/100)</f>
        <v>41.3292</v>
      </c>
      <c r="J685" s="35"/>
      <c r="K685" s="36" t="n">
        <f aca="false">+F685*J685</f>
        <v>0</v>
      </c>
      <c r="L685" s="37" t="n">
        <f aca="false">I685*K685</f>
        <v>0</v>
      </c>
    </row>
    <row r="686" customFormat="false" ht="15" hidden="false" customHeight="false" outlineLevel="0" collapsed="false">
      <c r="A686" s="32" t="s">
        <v>1389</v>
      </c>
      <c r="B686" s="32" t="s">
        <v>23</v>
      </c>
      <c r="C686" s="32" t="s">
        <v>1390</v>
      </c>
      <c r="D686" s="32" t="s">
        <v>126</v>
      </c>
      <c r="E686" s="33" t="n">
        <v>8430942027599</v>
      </c>
      <c r="F686" s="33" t="n">
        <v>1</v>
      </c>
      <c r="G686" s="34" t="n">
        <v>161.73</v>
      </c>
      <c r="H686" s="33" t="n">
        <v>69</v>
      </c>
      <c r="I686" s="34" t="n">
        <f aca="false">G686*((100-H686)/100)</f>
        <v>50.1363</v>
      </c>
      <c r="J686" s="35"/>
      <c r="K686" s="36" t="n">
        <f aca="false">+F686*J686</f>
        <v>0</v>
      </c>
      <c r="L686" s="37" t="n">
        <f aca="false">I686*K686</f>
        <v>0</v>
      </c>
    </row>
    <row r="687" customFormat="false" ht="15" hidden="false" customHeight="false" outlineLevel="0" collapsed="false">
      <c r="A687" s="32" t="s">
        <v>1391</v>
      </c>
      <c r="B687" s="32" t="s">
        <v>23</v>
      </c>
      <c r="C687" s="32" t="s">
        <v>1392</v>
      </c>
      <c r="D687" s="32" t="s">
        <v>126</v>
      </c>
      <c r="E687" s="33" t="n">
        <v>8430942329006</v>
      </c>
      <c r="F687" s="33" t="n">
        <v>1</v>
      </c>
      <c r="G687" s="34" t="n">
        <v>202.3</v>
      </c>
      <c r="H687" s="33" t="n">
        <v>69</v>
      </c>
      <c r="I687" s="34" t="n">
        <f aca="false">G687*((100-H687)/100)</f>
        <v>62.713</v>
      </c>
      <c r="J687" s="35"/>
      <c r="K687" s="36" t="n">
        <f aca="false">+F687*J687</f>
        <v>0</v>
      </c>
      <c r="L687" s="37" t="n">
        <f aca="false">I687*K687</f>
        <v>0</v>
      </c>
    </row>
    <row r="688" customFormat="false" ht="15" hidden="false" customHeight="false" outlineLevel="0" collapsed="false">
      <c r="A688" s="32" t="s">
        <v>1393</v>
      </c>
      <c r="B688" s="32" t="s">
        <v>23</v>
      </c>
      <c r="C688" s="32" t="s">
        <v>1394</v>
      </c>
      <c r="D688" s="32" t="s">
        <v>126</v>
      </c>
      <c r="E688" s="33" t="n">
        <v>8430942329037</v>
      </c>
      <c r="F688" s="33" t="n">
        <v>1</v>
      </c>
      <c r="G688" s="34" t="n">
        <v>257.7</v>
      </c>
      <c r="H688" s="33" t="n">
        <v>69</v>
      </c>
      <c r="I688" s="34" t="n">
        <f aca="false">G688*((100-H688)/100)</f>
        <v>79.887</v>
      </c>
      <c r="J688" s="35"/>
      <c r="K688" s="36" t="n">
        <f aca="false">+F688*J688</f>
        <v>0</v>
      </c>
      <c r="L688" s="37" t="n">
        <f aca="false">I688*K688</f>
        <v>0</v>
      </c>
    </row>
    <row r="689" customFormat="false" ht="15" hidden="false" customHeight="false" outlineLevel="0" collapsed="false">
      <c r="A689" s="32" t="s">
        <v>1395</v>
      </c>
      <c r="B689" s="32" t="s">
        <v>23</v>
      </c>
      <c r="C689" s="32" t="s">
        <v>1396</v>
      </c>
      <c r="D689" s="32" t="s">
        <v>126</v>
      </c>
      <c r="E689" s="33" t="n">
        <v>8430942328962</v>
      </c>
      <c r="F689" s="33" t="n">
        <v>1</v>
      </c>
      <c r="G689" s="34" t="n">
        <v>87.32</v>
      </c>
      <c r="H689" s="33" t="n">
        <v>69</v>
      </c>
      <c r="I689" s="34" t="n">
        <f aca="false">G689*((100-H689)/100)</f>
        <v>27.0692</v>
      </c>
      <c r="J689" s="35"/>
      <c r="K689" s="36" t="n">
        <f aca="false">+F689*J689</f>
        <v>0</v>
      </c>
      <c r="L689" s="37" t="n">
        <f aca="false">I689*K689</f>
        <v>0</v>
      </c>
    </row>
    <row r="690" customFormat="false" ht="15" hidden="false" customHeight="false" outlineLevel="0" collapsed="false">
      <c r="A690" s="32" t="s">
        <v>1397</v>
      </c>
      <c r="B690" s="32" t="s">
        <v>23</v>
      </c>
      <c r="C690" s="32" t="s">
        <v>1398</v>
      </c>
      <c r="D690" s="32" t="s">
        <v>126</v>
      </c>
      <c r="E690" s="33" t="n">
        <v>8430942328979</v>
      </c>
      <c r="F690" s="33" t="n">
        <v>1</v>
      </c>
      <c r="G690" s="34" t="n">
        <v>93.3</v>
      </c>
      <c r="H690" s="33" t="n">
        <v>69</v>
      </c>
      <c r="I690" s="34" t="n">
        <f aca="false">G690*((100-H690)/100)</f>
        <v>28.923</v>
      </c>
      <c r="J690" s="35"/>
      <c r="K690" s="36" t="n">
        <f aca="false">+F690*J690</f>
        <v>0</v>
      </c>
      <c r="L690" s="37" t="n">
        <f aca="false">I690*K690</f>
        <v>0</v>
      </c>
    </row>
    <row r="691" customFormat="false" ht="15" hidden="false" customHeight="false" outlineLevel="0" collapsed="false">
      <c r="A691" s="32" t="s">
        <v>1399</v>
      </c>
      <c r="B691" s="32" t="s">
        <v>23</v>
      </c>
      <c r="C691" s="32" t="s">
        <v>1400</v>
      </c>
      <c r="D691" s="32" t="s">
        <v>126</v>
      </c>
      <c r="E691" s="33" t="n">
        <v>8430942031077</v>
      </c>
      <c r="F691" s="33" t="n">
        <v>1</v>
      </c>
      <c r="G691" s="34" t="n">
        <v>103.46</v>
      </c>
      <c r="H691" s="33" t="n">
        <v>69</v>
      </c>
      <c r="I691" s="34" t="n">
        <f aca="false">G691*((100-H691)/100)</f>
        <v>32.0726</v>
      </c>
      <c r="J691" s="35"/>
      <c r="K691" s="36" t="n">
        <f aca="false">+F691*J691</f>
        <v>0</v>
      </c>
      <c r="L691" s="37" t="n">
        <f aca="false">I691*K691</f>
        <v>0</v>
      </c>
    </row>
    <row r="692" customFormat="false" ht="15" hidden="false" customHeight="false" outlineLevel="0" collapsed="false">
      <c r="A692" s="32" t="s">
        <v>1401</v>
      </c>
      <c r="B692" s="32" t="s">
        <v>23</v>
      </c>
      <c r="C692" s="32" t="s">
        <v>1402</v>
      </c>
      <c r="D692" s="32" t="s">
        <v>126</v>
      </c>
      <c r="E692" s="33" t="n">
        <v>8430942328993</v>
      </c>
      <c r="F692" s="33" t="n">
        <v>1</v>
      </c>
      <c r="G692" s="34" t="n">
        <v>112.5</v>
      </c>
      <c r="H692" s="33" t="n">
        <v>69</v>
      </c>
      <c r="I692" s="34" t="n">
        <f aca="false">G692*((100-H692)/100)</f>
        <v>34.875</v>
      </c>
      <c r="J692" s="35"/>
      <c r="K692" s="36" t="n">
        <f aca="false">+F692*J692</f>
        <v>0</v>
      </c>
      <c r="L692" s="37" t="n">
        <f aca="false">I692*K692</f>
        <v>0</v>
      </c>
    </row>
    <row r="693" customFormat="false" ht="15" hidden="false" customHeight="false" outlineLevel="0" collapsed="false">
      <c r="A693" s="32" t="s">
        <v>1403</v>
      </c>
      <c r="B693" s="32" t="s">
        <v>23</v>
      </c>
      <c r="C693" s="32" t="s">
        <v>1404</v>
      </c>
      <c r="D693" s="32" t="s">
        <v>126</v>
      </c>
      <c r="E693" s="33" t="n">
        <v>8430942031176</v>
      </c>
      <c r="F693" s="33" t="n">
        <v>1</v>
      </c>
      <c r="G693" s="34" t="n">
        <v>143.85</v>
      </c>
      <c r="H693" s="33" t="n">
        <v>69</v>
      </c>
      <c r="I693" s="34" t="n">
        <f aca="false">G693*((100-H693)/100)</f>
        <v>44.5935</v>
      </c>
      <c r="J693" s="35"/>
      <c r="K693" s="36" t="n">
        <f aca="false">+F693*J693</f>
        <v>0</v>
      </c>
      <c r="L693" s="37" t="n">
        <f aca="false">I693*K693</f>
        <v>0</v>
      </c>
    </row>
    <row r="694" customFormat="false" ht="15" hidden="false" customHeight="false" outlineLevel="0" collapsed="false">
      <c r="A694" s="32" t="s">
        <v>1405</v>
      </c>
      <c r="B694" s="32" t="s">
        <v>23</v>
      </c>
      <c r="C694" s="32" t="s">
        <v>1406</v>
      </c>
      <c r="D694" s="32" t="s">
        <v>126</v>
      </c>
      <c r="E694" s="33" t="n">
        <v>8430942027506</v>
      </c>
      <c r="F694" s="33" t="n">
        <v>1</v>
      </c>
      <c r="G694" s="34" t="n">
        <v>161.73</v>
      </c>
      <c r="H694" s="33" t="n">
        <v>69</v>
      </c>
      <c r="I694" s="34" t="n">
        <f aca="false">G694*((100-H694)/100)</f>
        <v>50.1363</v>
      </c>
      <c r="J694" s="35"/>
      <c r="K694" s="36" t="n">
        <f aca="false">+F694*J694</f>
        <v>0</v>
      </c>
      <c r="L694" s="37" t="n">
        <f aca="false">I694*K694</f>
        <v>0</v>
      </c>
    </row>
    <row r="695" customFormat="false" ht="15" hidden="false" customHeight="false" outlineLevel="0" collapsed="false">
      <c r="A695" s="32" t="s">
        <v>1407</v>
      </c>
      <c r="B695" s="32" t="s">
        <v>23</v>
      </c>
      <c r="C695" s="32" t="s">
        <v>1408</v>
      </c>
      <c r="D695" s="32" t="s">
        <v>126</v>
      </c>
      <c r="E695" s="33" t="n">
        <v>8430942329013</v>
      </c>
      <c r="F695" s="33" t="n">
        <v>1</v>
      </c>
      <c r="G695" s="34" t="n">
        <v>202.3</v>
      </c>
      <c r="H695" s="33" t="n">
        <v>69</v>
      </c>
      <c r="I695" s="34" t="n">
        <f aca="false">G695*((100-H695)/100)</f>
        <v>62.713</v>
      </c>
      <c r="J695" s="35"/>
      <c r="K695" s="36" t="n">
        <f aca="false">+F695*J695</f>
        <v>0</v>
      </c>
      <c r="L695" s="37" t="n">
        <f aca="false">I695*K695</f>
        <v>0</v>
      </c>
    </row>
    <row r="696" customFormat="false" ht="15" hidden="false" customHeight="false" outlineLevel="0" collapsed="false">
      <c r="A696" s="32" t="s">
        <v>1409</v>
      </c>
      <c r="B696" s="32" t="s">
        <v>23</v>
      </c>
      <c r="C696" s="32" t="s">
        <v>1410</v>
      </c>
      <c r="D696" s="32" t="s">
        <v>126</v>
      </c>
      <c r="E696" s="33" t="n">
        <v>8430942024512</v>
      </c>
      <c r="F696" s="33" t="n">
        <v>1</v>
      </c>
      <c r="G696" s="34" t="n">
        <v>257.7</v>
      </c>
      <c r="H696" s="33" t="n">
        <v>69</v>
      </c>
      <c r="I696" s="34" t="n">
        <f aca="false">G696*((100-H696)/100)</f>
        <v>79.887</v>
      </c>
      <c r="J696" s="35"/>
      <c r="K696" s="36" t="n">
        <f aca="false">+F696*J696</f>
        <v>0</v>
      </c>
      <c r="L696" s="37" t="n">
        <f aca="false">I696*K696</f>
        <v>0</v>
      </c>
    </row>
    <row r="697" customFormat="false" ht="15" hidden="false" customHeight="false" outlineLevel="0" collapsed="false">
      <c r="A697" s="32" t="s">
        <v>1411</v>
      </c>
      <c r="B697" s="32" t="s">
        <v>23</v>
      </c>
      <c r="C697" s="32" t="s">
        <v>1412</v>
      </c>
      <c r="D697" s="32" t="s">
        <v>126</v>
      </c>
      <c r="E697" s="33" t="n">
        <v>8430942023874</v>
      </c>
      <c r="F697" s="33" t="n">
        <v>1</v>
      </c>
      <c r="G697" s="34" t="n">
        <v>140.18</v>
      </c>
      <c r="H697" s="33" t="n">
        <v>69</v>
      </c>
      <c r="I697" s="34" t="n">
        <f aca="false">G697*((100-H697)/100)</f>
        <v>43.4558</v>
      </c>
      <c r="J697" s="35"/>
      <c r="K697" s="36" t="n">
        <f aca="false">+F697*J697</f>
        <v>0</v>
      </c>
      <c r="L697" s="37" t="n">
        <f aca="false">I697*K697</f>
        <v>0</v>
      </c>
    </row>
    <row r="698" customFormat="false" ht="15" hidden="false" customHeight="false" outlineLevel="0" collapsed="false">
      <c r="A698" s="32" t="s">
        <v>1413</v>
      </c>
      <c r="B698" s="32" t="s">
        <v>23</v>
      </c>
      <c r="C698" s="32" t="s">
        <v>1414</v>
      </c>
      <c r="D698" s="32" t="s">
        <v>126</v>
      </c>
      <c r="E698" s="33" t="n">
        <v>8430942027483</v>
      </c>
      <c r="F698" s="33" t="n">
        <v>1</v>
      </c>
      <c r="G698" s="34" t="n">
        <v>149.67</v>
      </c>
      <c r="H698" s="33" t="n">
        <v>69</v>
      </c>
      <c r="I698" s="34" t="n">
        <f aca="false">G698*((100-H698)/100)</f>
        <v>46.3977</v>
      </c>
      <c r="J698" s="35"/>
      <c r="K698" s="36" t="n">
        <f aca="false">+F698*J698</f>
        <v>0</v>
      </c>
      <c r="L698" s="37" t="n">
        <f aca="false">I698*K698</f>
        <v>0</v>
      </c>
    </row>
    <row r="699" customFormat="false" ht="15" hidden="false" customHeight="false" outlineLevel="0" collapsed="false">
      <c r="A699" s="32" t="s">
        <v>1415</v>
      </c>
      <c r="B699" s="32" t="s">
        <v>23</v>
      </c>
      <c r="C699" s="32" t="s">
        <v>1416</v>
      </c>
      <c r="D699" s="32" t="s">
        <v>126</v>
      </c>
      <c r="E699" s="33" t="n">
        <v>8430942035037</v>
      </c>
      <c r="F699" s="33" t="n">
        <v>1</v>
      </c>
      <c r="G699" s="34" t="n">
        <v>156.33</v>
      </c>
      <c r="H699" s="33" t="n">
        <v>69</v>
      </c>
      <c r="I699" s="34" t="n">
        <f aca="false">G699*((100-H699)/100)</f>
        <v>48.4623</v>
      </c>
      <c r="J699" s="35"/>
      <c r="K699" s="36" t="n">
        <f aca="false">+F699*J699</f>
        <v>0</v>
      </c>
      <c r="L699" s="37" t="n">
        <f aca="false">I699*K699</f>
        <v>0</v>
      </c>
    </row>
    <row r="700" customFormat="false" ht="15" hidden="false" customHeight="false" outlineLevel="0" collapsed="false">
      <c r="A700" s="32" t="s">
        <v>1417</v>
      </c>
      <c r="B700" s="32" t="s">
        <v>23</v>
      </c>
      <c r="C700" s="32" t="s">
        <v>1418</v>
      </c>
      <c r="D700" s="32" t="s">
        <v>126</v>
      </c>
      <c r="E700" s="33" t="n">
        <v>8430942027469</v>
      </c>
      <c r="F700" s="33" t="n">
        <v>1</v>
      </c>
      <c r="G700" s="34" t="n">
        <v>176.15</v>
      </c>
      <c r="H700" s="33" t="n">
        <v>69</v>
      </c>
      <c r="I700" s="34" t="n">
        <f aca="false">G700*((100-H700)/100)</f>
        <v>54.6065</v>
      </c>
      <c r="J700" s="35"/>
      <c r="K700" s="36" t="n">
        <f aca="false">+F700*J700</f>
        <v>0</v>
      </c>
      <c r="L700" s="37" t="n">
        <f aca="false">I700*K700</f>
        <v>0</v>
      </c>
    </row>
    <row r="701" customFormat="false" ht="15" hidden="false" customHeight="false" outlineLevel="0" collapsed="false">
      <c r="A701" s="32" t="s">
        <v>1419</v>
      </c>
      <c r="B701" s="32" t="s">
        <v>23</v>
      </c>
      <c r="C701" s="32" t="s">
        <v>1420</v>
      </c>
      <c r="D701" s="32" t="s">
        <v>126</v>
      </c>
      <c r="E701" s="33" t="n">
        <v>8430942031060</v>
      </c>
      <c r="F701" s="33" t="n">
        <v>1</v>
      </c>
      <c r="G701" s="34" t="n">
        <v>199.57</v>
      </c>
      <c r="H701" s="33" t="n">
        <v>69</v>
      </c>
      <c r="I701" s="34" t="n">
        <f aca="false">G701*((100-H701)/100)</f>
        <v>61.8667</v>
      </c>
      <c r="J701" s="35"/>
      <c r="K701" s="36" t="n">
        <f aca="false">+F701*J701</f>
        <v>0</v>
      </c>
      <c r="L701" s="37" t="n">
        <f aca="false">I701*K701</f>
        <v>0</v>
      </c>
    </row>
    <row r="702" customFormat="false" ht="15" hidden="false" customHeight="false" outlineLevel="0" collapsed="false">
      <c r="A702" s="32" t="s">
        <v>1421</v>
      </c>
      <c r="B702" s="32" t="s">
        <v>23</v>
      </c>
      <c r="C702" s="32" t="s">
        <v>1422</v>
      </c>
      <c r="D702" s="32" t="s">
        <v>126</v>
      </c>
      <c r="E702" s="33" t="n">
        <v>8430942027452</v>
      </c>
      <c r="F702" s="33" t="n">
        <v>1</v>
      </c>
      <c r="G702" s="34" t="n">
        <v>269.25</v>
      </c>
      <c r="H702" s="33" t="n">
        <v>69</v>
      </c>
      <c r="I702" s="34" t="n">
        <f aca="false">G702*((100-H702)/100)</f>
        <v>83.4675</v>
      </c>
      <c r="J702" s="35"/>
      <c r="K702" s="36" t="n">
        <f aca="false">+F702*J702</f>
        <v>0</v>
      </c>
      <c r="L702" s="37" t="n">
        <f aca="false">I702*K702</f>
        <v>0</v>
      </c>
    </row>
    <row r="703" customFormat="false" ht="15" hidden="false" customHeight="false" outlineLevel="0" collapsed="false">
      <c r="A703" s="32" t="s">
        <v>1423</v>
      </c>
      <c r="B703" s="32" t="s">
        <v>23</v>
      </c>
      <c r="C703" s="32" t="s">
        <v>1424</v>
      </c>
      <c r="D703" s="32" t="s">
        <v>126</v>
      </c>
      <c r="E703" s="33" t="n">
        <v>8430942329020</v>
      </c>
      <c r="F703" s="33" t="n">
        <v>1</v>
      </c>
      <c r="G703" s="34" t="n">
        <v>344.23</v>
      </c>
      <c r="H703" s="33" t="n">
        <v>69</v>
      </c>
      <c r="I703" s="34" t="n">
        <f aca="false">G703*((100-H703)/100)</f>
        <v>106.7113</v>
      </c>
      <c r="J703" s="35"/>
      <c r="K703" s="36" t="n">
        <f aca="false">+F703*J703</f>
        <v>0</v>
      </c>
      <c r="L703" s="37" t="n">
        <f aca="false">I703*K703</f>
        <v>0</v>
      </c>
    </row>
    <row r="704" customFormat="false" ht="15" hidden="false" customHeight="false" outlineLevel="0" collapsed="false">
      <c r="A704" s="32" t="s">
        <v>1425</v>
      </c>
      <c r="B704" s="32" t="s">
        <v>23</v>
      </c>
      <c r="C704" s="32" t="s">
        <v>1426</v>
      </c>
      <c r="D704" s="32" t="s">
        <v>126</v>
      </c>
      <c r="E704" s="33" t="n">
        <v>8430942027438</v>
      </c>
      <c r="F704" s="33" t="n">
        <v>1</v>
      </c>
      <c r="G704" s="34" t="n">
        <v>430.77</v>
      </c>
      <c r="H704" s="33" t="n">
        <v>69</v>
      </c>
      <c r="I704" s="34" t="n">
        <f aca="false">G704*((100-H704)/100)</f>
        <v>133.5387</v>
      </c>
      <c r="J704" s="35"/>
      <c r="K704" s="36" t="n">
        <f aca="false">+F704*J704</f>
        <v>0</v>
      </c>
      <c r="L704" s="37" t="n">
        <f aca="false">I704*K704</f>
        <v>0</v>
      </c>
    </row>
    <row r="705" customFormat="false" ht="15" hidden="false" customHeight="false" outlineLevel="0" collapsed="false">
      <c r="A705" s="32" t="s">
        <v>1427</v>
      </c>
      <c r="B705" s="32" t="s">
        <v>23</v>
      </c>
      <c r="C705" s="32" t="s">
        <v>1428</v>
      </c>
      <c r="D705" s="32" t="s">
        <v>211</v>
      </c>
      <c r="E705" s="33" t="n">
        <v>8430942329525</v>
      </c>
      <c r="F705" s="33" t="n">
        <v>1</v>
      </c>
      <c r="G705" s="34" t="n">
        <v>177.31</v>
      </c>
      <c r="H705" s="33" t="n">
        <v>69</v>
      </c>
      <c r="I705" s="34" t="n">
        <f aca="false">G705*((100-H705)/100)</f>
        <v>54.9661</v>
      </c>
      <c r="J705" s="35"/>
      <c r="K705" s="36" t="n">
        <f aca="false">+F705*J705</f>
        <v>0</v>
      </c>
      <c r="L705" s="37" t="n">
        <f aca="false">I705*K705</f>
        <v>0</v>
      </c>
    </row>
    <row r="706" customFormat="false" ht="15" hidden="false" customHeight="false" outlineLevel="0" collapsed="false">
      <c r="A706" s="32" t="s">
        <v>1429</v>
      </c>
      <c r="B706" s="32" t="s">
        <v>23</v>
      </c>
      <c r="C706" s="32" t="s">
        <v>1430</v>
      </c>
      <c r="D706" s="32" t="s">
        <v>211</v>
      </c>
      <c r="E706" s="33" t="n">
        <v>8430942027414</v>
      </c>
      <c r="F706" s="33" t="n">
        <v>1</v>
      </c>
      <c r="G706" s="34" t="n">
        <v>184.92</v>
      </c>
      <c r="H706" s="33" t="n">
        <v>69</v>
      </c>
      <c r="I706" s="34" t="n">
        <f aca="false">G706*((100-H706)/100)</f>
        <v>57.3252</v>
      </c>
      <c r="J706" s="35"/>
      <c r="K706" s="36" t="n">
        <f aca="false">+F706*J706</f>
        <v>0</v>
      </c>
      <c r="L706" s="37" t="n">
        <f aca="false">I706*K706</f>
        <v>0</v>
      </c>
    </row>
    <row r="707" customFormat="false" ht="15" hidden="false" customHeight="false" outlineLevel="0" collapsed="false">
      <c r="A707" s="32" t="s">
        <v>1431</v>
      </c>
      <c r="B707" s="32" t="s">
        <v>23</v>
      </c>
      <c r="C707" s="32" t="s">
        <v>1432</v>
      </c>
      <c r="D707" s="32" t="s">
        <v>211</v>
      </c>
      <c r="E707" s="33" t="n">
        <v>8430942031336</v>
      </c>
      <c r="F707" s="33" t="n">
        <v>1</v>
      </c>
      <c r="G707" s="34" t="n">
        <v>193.27</v>
      </c>
      <c r="H707" s="33" t="n">
        <v>69</v>
      </c>
      <c r="I707" s="34" t="n">
        <f aca="false">G707*((100-H707)/100)</f>
        <v>59.9137</v>
      </c>
      <c r="J707" s="35"/>
      <c r="K707" s="36" t="n">
        <f aca="false">+F707*J707</f>
        <v>0</v>
      </c>
      <c r="L707" s="37" t="n">
        <f aca="false">I707*K707</f>
        <v>0</v>
      </c>
    </row>
    <row r="708" customFormat="false" ht="15" hidden="false" customHeight="false" outlineLevel="0" collapsed="false">
      <c r="A708" s="32" t="s">
        <v>1433</v>
      </c>
      <c r="B708" s="32" t="s">
        <v>23</v>
      </c>
      <c r="C708" s="32" t="s">
        <v>1434</v>
      </c>
      <c r="D708" s="32" t="s">
        <v>211</v>
      </c>
      <c r="E708" s="33" t="n">
        <v>8430942027391</v>
      </c>
      <c r="F708" s="33" t="n">
        <v>1</v>
      </c>
      <c r="G708" s="34" t="n">
        <v>213.85</v>
      </c>
      <c r="H708" s="33" t="n">
        <v>69</v>
      </c>
      <c r="I708" s="34" t="n">
        <f aca="false">G708*((100-H708)/100)</f>
        <v>66.2935</v>
      </c>
      <c r="J708" s="35"/>
      <c r="K708" s="36" t="n">
        <f aca="false">+F708*J708</f>
        <v>0</v>
      </c>
      <c r="L708" s="37" t="n">
        <f aca="false">I708*K708</f>
        <v>0</v>
      </c>
    </row>
    <row r="709" customFormat="false" ht="15" hidden="false" customHeight="false" outlineLevel="0" collapsed="false">
      <c r="A709" s="32" t="s">
        <v>1435</v>
      </c>
      <c r="B709" s="32" t="s">
        <v>23</v>
      </c>
      <c r="C709" s="32" t="s">
        <v>1436</v>
      </c>
      <c r="D709" s="32" t="s">
        <v>211</v>
      </c>
      <c r="E709" s="33" t="n">
        <v>8430942031312</v>
      </c>
      <c r="F709" s="33" t="n">
        <v>1</v>
      </c>
      <c r="G709" s="34" t="n">
        <v>253.27</v>
      </c>
      <c r="H709" s="33" t="n">
        <v>69</v>
      </c>
      <c r="I709" s="34" t="n">
        <f aca="false">G709*((100-H709)/100)</f>
        <v>78.5137</v>
      </c>
      <c r="J709" s="35"/>
      <c r="K709" s="36" t="n">
        <f aca="false">+F709*J709</f>
        <v>0</v>
      </c>
      <c r="L709" s="37" t="n">
        <f aca="false">I709*K709</f>
        <v>0</v>
      </c>
    </row>
    <row r="710" customFormat="false" ht="15" hidden="false" customHeight="false" outlineLevel="0" collapsed="false">
      <c r="A710" s="32" t="s">
        <v>1437</v>
      </c>
      <c r="B710" s="32" t="s">
        <v>23</v>
      </c>
      <c r="C710" s="32" t="s">
        <v>1438</v>
      </c>
      <c r="D710" s="32" t="s">
        <v>211</v>
      </c>
      <c r="E710" s="33" t="n">
        <v>8430942038526</v>
      </c>
      <c r="F710" s="33" t="n">
        <v>1</v>
      </c>
      <c r="G710" s="34" t="n">
        <v>324.81</v>
      </c>
      <c r="H710" s="33" t="n">
        <v>69</v>
      </c>
      <c r="I710" s="34" t="n">
        <f aca="false">G710*((100-H710)/100)</f>
        <v>100.6911</v>
      </c>
      <c r="J710" s="35"/>
      <c r="K710" s="36" t="n">
        <f aca="false">+F710*J710</f>
        <v>0</v>
      </c>
      <c r="L710" s="37" t="n">
        <f aca="false">I710*K710</f>
        <v>0</v>
      </c>
    </row>
    <row r="711" customFormat="false" ht="15" hidden="false" customHeight="false" outlineLevel="0" collapsed="false">
      <c r="A711" s="32" t="s">
        <v>1439</v>
      </c>
      <c r="B711" s="32" t="s">
        <v>23</v>
      </c>
      <c r="C711" s="32" t="s">
        <v>1440</v>
      </c>
      <c r="D711" s="32" t="s">
        <v>211</v>
      </c>
      <c r="E711" s="33" t="n">
        <v>8430942329549</v>
      </c>
      <c r="F711" s="33" t="n">
        <v>1</v>
      </c>
      <c r="G711" s="34" t="n">
        <v>430.77</v>
      </c>
      <c r="H711" s="33" t="n">
        <v>69</v>
      </c>
      <c r="I711" s="34" t="n">
        <f aca="false">G711*((100-H711)/100)</f>
        <v>133.5387</v>
      </c>
      <c r="J711" s="35"/>
      <c r="K711" s="36" t="n">
        <f aca="false">+F711*J711</f>
        <v>0</v>
      </c>
      <c r="L711" s="37" t="n">
        <f aca="false">I711*K711</f>
        <v>0</v>
      </c>
    </row>
    <row r="712" customFormat="false" ht="15" hidden="false" customHeight="false" outlineLevel="0" collapsed="false">
      <c r="A712" s="32" t="s">
        <v>1441</v>
      </c>
      <c r="B712" s="32" t="s">
        <v>23</v>
      </c>
      <c r="C712" s="32" t="s">
        <v>1442</v>
      </c>
      <c r="D712" s="32" t="s">
        <v>211</v>
      </c>
      <c r="E712" s="33" t="n">
        <v>8430942027377</v>
      </c>
      <c r="F712" s="33" t="n">
        <v>1</v>
      </c>
      <c r="G712" s="34" t="n">
        <v>561.55</v>
      </c>
      <c r="H712" s="33" t="n">
        <v>69</v>
      </c>
      <c r="I712" s="34" t="n">
        <f aca="false">G712*((100-H712)/100)</f>
        <v>174.0805</v>
      </c>
      <c r="J712" s="35"/>
      <c r="K712" s="36" t="n">
        <f aca="false">+F712*J712</f>
        <v>0</v>
      </c>
      <c r="L712" s="37" t="n">
        <f aca="false">I712*K712</f>
        <v>0</v>
      </c>
    </row>
    <row r="713" customFormat="false" ht="15" hidden="false" customHeight="false" outlineLevel="0" collapsed="false">
      <c r="A713" s="32" t="s">
        <v>1443</v>
      </c>
      <c r="B713" s="32" t="s">
        <v>23</v>
      </c>
      <c r="C713" s="32" t="s">
        <v>1444</v>
      </c>
      <c r="D713" s="32" t="s">
        <v>211</v>
      </c>
      <c r="E713" s="33" t="n">
        <v>8430942355265</v>
      </c>
      <c r="F713" s="33" t="n">
        <v>1</v>
      </c>
      <c r="G713" s="34" t="n">
        <v>218.98</v>
      </c>
      <c r="H713" s="33" t="n">
        <v>69</v>
      </c>
      <c r="I713" s="34" t="n">
        <f aca="false">G713*((100-H713)/100)</f>
        <v>67.8838</v>
      </c>
      <c r="J713" s="35"/>
      <c r="K713" s="36" t="n">
        <f aca="false">+F713*J713</f>
        <v>0</v>
      </c>
      <c r="L713" s="37" t="n">
        <f aca="false">I713*K713</f>
        <v>0</v>
      </c>
    </row>
    <row r="714" customFormat="false" ht="15" hidden="false" customHeight="false" outlineLevel="0" collapsed="false">
      <c r="A714" s="32" t="s">
        <v>1445</v>
      </c>
      <c r="B714" s="32" t="s">
        <v>23</v>
      </c>
      <c r="C714" s="32" t="s">
        <v>1446</v>
      </c>
      <c r="D714" s="32" t="s">
        <v>211</v>
      </c>
      <c r="E714" s="33" t="n">
        <v>8430942356835</v>
      </c>
      <c r="F714" s="33" t="n">
        <v>1</v>
      </c>
      <c r="G714" s="34" t="n">
        <v>232.69</v>
      </c>
      <c r="H714" s="33" t="n">
        <v>69</v>
      </c>
      <c r="I714" s="34" t="n">
        <f aca="false">G714*((100-H714)/100)</f>
        <v>72.1339</v>
      </c>
      <c r="J714" s="35"/>
      <c r="K714" s="36" t="n">
        <f aca="false">+F714*J714</f>
        <v>0</v>
      </c>
      <c r="L714" s="37" t="n">
        <f aca="false">I714*K714</f>
        <v>0</v>
      </c>
    </row>
    <row r="715" customFormat="false" ht="15" hidden="false" customHeight="false" outlineLevel="0" collapsed="false">
      <c r="A715" s="32" t="s">
        <v>1447</v>
      </c>
      <c r="B715" s="32" t="s">
        <v>23</v>
      </c>
      <c r="C715" s="32" t="s">
        <v>1448</v>
      </c>
      <c r="D715" s="32" t="s">
        <v>211</v>
      </c>
      <c r="E715" s="33" t="n">
        <v>8430942356842</v>
      </c>
      <c r="F715" s="33" t="n">
        <v>1</v>
      </c>
      <c r="G715" s="34" t="n">
        <v>240.79</v>
      </c>
      <c r="H715" s="33" t="n">
        <v>69</v>
      </c>
      <c r="I715" s="34" t="n">
        <f aca="false">G715*((100-H715)/100)</f>
        <v>74.6449</v>
      </c>
      <c r="J715" s="35"/>
      <c r="K715" s="36" t="n">
        <f aca="false">+F715*J715</f>
        <v>0</v>
      </c>
      <c r="L715" s="37" t="n">
        <f aca="false">I715*K715</f>
        <v>0</v>
      </c>
    </row>
    <row r="716" customFormat="false" ht="15" hidden="false" customHeight="false" outlineLevel="0" collapsed="false">
      <c r="A716" s="32" t="s">
        <v>1449</v>
      </c>
      <c r="B716" s="32" t="s">
        <v>23</v>
      </c>
      <c r="C716" s="32" t="s">
        <v>1450</v>
      </c>
      <c r="D716" s="32" t="s">
        <v>211</v>
      </c>
      <c r="E716" s="33" t="n">
        <v>8430942355272</v>
      </c>
      <c r="F716" s="33" t="n">
        <v>1</v>
      </c>
      <c r="G716" s="34" t="n">
        <v>260.77</v>
      </c>
      <c r="H716" s="33" t="n">
        <v>69</v>
      </c>
      <c r="I716" s="34" t="n">
        <f aca="false">G716*((100-H716)/100)</f>
        <v>80.8387</v>
      </c>
      <c r="J716" s="35"/>
      <c r="K716" s="36" t="n">
        <f aca="false">+F716*J716</f>
        <v>0</v>
      </c>
      <c r="L716" s="37" t="n">
        <f aca="false">I716*K716</f>
        <v>0</v>
      </c>
    </row>
    <row r="717" customFormat="false" ht="15" hidden="false" customHeight="false" outlineLevel="0" collapsed="false">
      <c r="A717" s="32" t="s">
        <v>1451</v>
      </c>
      <c r="B717" s="32" t="s">
        <v>23</v>
      </c>
      <c r="C717" s="32" t="s">
        <v>1452</v>
      </c>
      <c r="D717" s="32" t="s">
        <v>211</v>
      </c>
      <c r="E717" s="33" t="n">
        <v>8430942356859</v>
      </c>
      <c r="F717" s="33" t="n">
        <v>1</v>
      </c>
      <c r="G717" s="34" t="n">
        <v>339.8</v>
      </c>
      <c r="H717" s="33" t="n">
        <v>69</v>
      </c>
      <c r="I717" s="34" t="n">
        <f aca="false">G717*((100-H717)/100)</f>
        <v>105.338</v>
      </c>
      <c r="J717" s="35"/>
      <c r="K717" s="36" t="n">
        <f aca="false">+F717*J717</f>
        <v>0</v>
      </c>
      <c r="L717" s="37" t="n">
        <f aca="false">I717*K717</f>
        <v>0</v>
      </c>
    </row>
    <row r="718" customFormat="false" ht="15" hidden="false" customHeight="false" outlineLevel="0" collapsed="false">
      <c r="A718" s="32" t="s">
        <v>1453</v>
      </c>
      <c r="B718" s="32" t="s">
        <v>23</v>
      </c>
      <c r="C718" s="32" t="s">
        <v>1454</v>
      </c>
      <c r="D718" s="32" t="s">
        <v>211</v>
      </c>
      <c r="E718" s="33" t="n">
        <v>8430942355289</v>
      </c>
      <c r="F718" s="33" t="n">
        <v>1</v>
      </c>
      <c r="G718" s="34" t="n">
        <v>350.77</v>
      </c>
      <c r="H718" s="33" t="n">
        <v>69</v>
      </c>
      <c r="I718" s="34" t="n">
        <f aca="false">G718*((100-H718)/100)</f>
        <v>108.7387</v>
      </c>
      <c r="J718" s="35"/>
      <c r="K718" s="36" t="n">
        <f aca="false">+F718*J718</f>
        <v>0</v>
      </c>
      <c r="L718" s="37" t="n">
        <f aca="false">I718*K718</f>
        <v>0</v>
      </c>
    </row>
    <row r="719" customFormat="false" ht="15" hidden="false" customHeight="false" outlineLevel="0" collapsed="false">
      <c r="A719" s="32" t="s">
        <v>1455</v>
      </c>
      <c r="B719" s="32" t="s">
        <v>23</v>
      </c>
      <c r="C719" s="32" t="s">
        <v>1456</v>
      </c>
      <c r="D719" s="32" t="s">
        <v>211</v>
      </c>
      <c r="E719" s="33" t="n">
        <v>8430942361792</v>
      </c>
      <c r="F719" s="33" t="n">
        <v>1</v>
      </c>
      <c r="G719" s="34" t="n">
        <v>490.3</v>
      </c>
      <c r="H719" s="33" t="n">
        <v>69</v>
      </c>
      <c r="I719" s="34" t="n">
        <f aca="false">G719*((100-H719)/100)</f>
        <v>151.993</v>
      </c>
      <c r="J719" s="35"/>
      <c r="K719" s="36" t="n">
        <f aca="false">+F719*J719</f>
        <v>0</v>
      </c>
      <c r="L719" s="37" t="n">
        <f aca="false">I719*K719</f>
        <v>0</v>
      </c>
    </row>
    <row r="720" customFormat="false" ht="15" hidden="false" customHeight="false" outlineLevel="0" collapsed="false">
      <c r="A720" s="32" t="s">
        <v>1457</v>
      </c>
      <c r="B720" s="32" t="s">
        <v>23</v>
      </c>
      <c r="C720" s="32" t="s">
        <v>1458</v>
      </c>
      <c r="D720" s="32" t="s">
        <v>211</v>
      </c>
      <c r="E720" s="33" t="n">
        <v>8430942361808</v>
      </c>
      <c r="F720" s="33" t="n">
        <v>1</v>
      </c>
      <c r="G720" s="34" t="n">
        <v>630.2</v>
      </c>
      <c r="H720" s="33" t="n">
        <v>69</v>
      </c>
      <c r="I720" s="34" t="n">
        <f aca="false">G720*((100-H720)/100)</f>
        <v>195.362</v>
      </c>
      <c r="J720" s="35"/>
      <c r="K720" s="36" t="n">
        <f aca="false">+F720*J720</f>
        <v>0</v>
      </c>
      <c r="L720" s="37" t="n">
        <f aca="false">I720*K720</f>
        <v>0</v>
      </c>
    </row>
    <row r="721" customFormat="false" ht="15" hidden="false" customHeight="false" outlineLevel="0" collapsed="false">
      <c r="A721" s="32" t="s">
        <v>1459</v>
      </c>
      <c r="B721" s="32" t="s">
        <v>23</v>
      </c>
      <c r="C721" s="32" t="s">
        <v>1460</v>
      </c>
      <c r="D721" s="32" t="s">
        <v>211</v>
      </c>
      <c r="E721" s="33" t="n">
        <v>8430942351823</v>
      </c>
      <c r="F721" s="33" t="n">
        <v>1</v>
      </c>
      <c r="G721" s="34" t="n">
        <v>213.28</v>
      </c>
      <c r="H721" s="33" t="n">
        <v>69</v>
      </c>
      <c r="I721" s="34" t="n">
        <f aca="false">G721*((100-H721)/100)</f>
        <v>66.1168</v>
      </c>
      <c r="J721" s="35"/>
      <c r="K721" s="36" t="n">
        <f aca="false">+F721*J721</f>
        <v>0</v>
      </c>
      <c r="L721" s="37" t="n">
        <f aca="false">I721*K721</f>
        <v>0</v>
      </c>
    </row>
    <row r="722" customFormat="false" ht="15" hidden="false" customHeight="false" outlineLevel="0" collapsed="false">
      <c r="A722" s="32" t="s">
        <v>1461</v>
      </c>
      <c r="B722" s="32" t="s">
        <v>23</v>
      </c>
      <c r="C722" s="32" t="s">
        <v>1462</v>
      </c>
      <c r="D722" s="32" t="s">
        <v>211</v>
      </c>
      <c r="E722" s="33" t="n">
        <v>8430942351830</v>
      </c>
      <c r="F722" s="33" t="n">
        <v>1</v>
      </c>
      <c r="G722" s="34" t="n">
        <v>227.5</v>
      </c>
      <c r="H722" s="33" t="n">
        <v>69</v>
      </c>
      <c r="I722" s="34" t="n">
        <f aca="false">G722*((100-H722)/100)</f>
        <v>70.525</v>
      </c>
      <c r="J722" s="35"/>
      <c r="K722" s="36" t="n">
        <f aca="false">+F722*J722</f>
        <v>0</v>
      </c>
      <c r="L722" s="37" t="n">
        <f aca="false">I722*K722</f>
        <v>0</v>
      </c>
    </row>
    <row r="723" customFormat="false" ht="15" hidden="false" customHeight="false" outlineLevel="0" collapsed="false">
      <c r="A723" s="32" t="s">
        <v>1463</v>
      </c>
      <c r="B723" s="32" t="s">
        <v>23</v>
      </c>
      <c r="C723" s="32" t="s">
        <v>1464</v>
      </c>
      <c r="D723" s="32" t="s">
        <v>211</v>
      </c>
      <c r="E723" s="33" t="n">
        <v>8430942351847</v>
      </c>
      <c r="F723" s="33" t="n">
        <v>1</v>
      </c>
      <c r="G723" s="34" t="n">
        <v>260.45</v>
      </c>
      <c r="H723" s="33" t="n">
        <v>69</v>
      </c>
      <c r="I723" s="34" t="n">
        <f aca="false">G723*((100-H723)/100)</f>
        <v>80.7395</v>
      </c>
      <c r="J723" s="35"/>
      <c r="K723" s="36" t="n">
        <f aca="false">+F723*J723</f>
        <v>0</v>
      </c>
      <c r="L723" s="37" t="n">
        <f aca="false">I723*K723</f>
        <v>0</v>
      </c>
    </row>
    <row r="724" customFormat="false" ht="15" hidden="false" customHeight="false" outlineLevel="0" collapsed="false">
      <c r="A724" s="32" t="s">
        <v>1465</v>
      </c>
      <c r="B724" s="32" t="s">
        <v>23</v>
      </c>
      <c r="C724" s="32" t="s">
        <v>1466</v>
      </c>
      <c r="D724" s="32" t="s">
        <v>211</v>
      </c>
      <c r="E724" s="33" t="n">
        <v>8430942351854</v>
      </c>
      <c r="F724" s="33" t="n">
        <v>1</v>
      </c>
      <c r="G724" s="34" t="n">
        <v>313.5</v>
      </c>
      <c r="H724" s="33" t="n">
        <v>69</v>
      </c>
      <c r="I724" s="34" t="n">
        <f aca="false">G724*((100-H724)/100)</f>
        <v>97.185</v>
      </c>
      <c r="J724" s="35"/>
      <c r="K724" s="36" t="n">
        <f aca="false">+F724*J724</f>
        <v>0</v>
      </c>
      <c r="L724" s="37" t="n">
        <f aca="false">I724*K724</f>
        <v>0</v>
      </c>
    </row>
    <row r="725" customFormat="false" ht="15" hidden="false" customHeight="false" outlineLevel="0" collapsed="false">
      <c r="A725" s="32" t="s">
        <v>1467</v>
      </c>
      <c r="B725" s="32" t="s">
        <v>23</v>
      </c>
      <c r="C725" s="32" t="s">
        <v>1468</v>
      </c>
      <c r="D725" s="32" t="s">
        <v>211</v>
      </c>
      <c r="E725" s="33" t="n">
        <v>8430942351861</v>
      </c>
      <c r="F725" s="33" t="n">
        <v>1</v>
      </c>
      <c r="G725" s="34" t="n">
        <v>377.17</v>
      </c>
      <c r="H725" s="33" t="n">
        <v>69</v>
      </c>
      <c r="I725" s="34" t="n">
        <f aca="false">G725*((100-H725)/100)</f>
        <v>116.9227</v>
      </c>
      <c r="J725" s="35"/>
      <c r="K725" s="36" t="n">
        <f aca="false">+F725*J725</f>
        <v>0</v>
      </c>
      <c r="L725" s="37" t="n">
        <f aca="false">I725*K725</f>
        <v>0</v>
      </c>
    </row>
    <row r="726" customFormat="false" ht="15" hidden="false" customHeight="false" outlineLevel="0" collapsed="false">
      <c r="A726" s="32" t="s">
        <v>1469</v>
      </c>
      <c r="B726" s="32" t="s">
        <v>23</v>
      </c>
      <c r="C726" s="32" t="s">
        <v>1470</v>
      </c>
      <c r="D726" s="32" t="s">
        <v>211</v>
      </c>
      <c r="E726" s="33" t="n">
        <v>8430942351878</v>
      </c>
      <c r="F726" s="33" t="n">
        <v>1</v>
      </c>
      <c r="G726" s="34" t="n">
        <v>444.94</v>
      </c>
      <c r="H726" s="33" t="n">
        <v>69</v>
      </c>
      <c r="I726" s="34" t="n">
        <f aca="false">G726*((100-H726)/100)</f>
        <v>137.9314</v>
      </c>
      <c r="J726" s="35"/>
      <c r="K726" s="36" t="n">
        <f aca="false">+F726*J726</f>
        <v>0</v>
      </c>
      <c r="L726" s="37" t="n">
        <f aca="false">I726*K726</f>
        <v>0</v>
      </c>
    </row>
    <row r="727" customFormat="false" ht="15" hidden="false" customHeight="false" outlineLevel="0" collapsed="false">
      <c r="A727" s="32" t="s">
        <v>1471</v>
      </c>
      <c r="B727" s="32" t="s">
        <v>23</v>
      </c>
      <c r="C727" s="32" t="s">
        <v>1472</v>
      </c>
      <c r="D727" s="32" t="s">
        <v>211</v>
      </c>
      <c r="E727" s="33" t="n">
        <v>8430942351892</v>
      </c>
      <c r="F727" s="33" t="n">
        <v>1</v>
      </c>
      <c r="G727" s="34" t="n">
        <v>535.97</v>
      </c>
      <c r="H727" s="33" t="n">
        <v>69</v>
      </c>
      <c r="I727" s="34" t="n">
        <f aca="false">G727*((100-H727)/100)</f>
        <v>166.1507</v>
      </c>
      <c r="J727" s="35"/>
      <c r="K727" s="36" t="n">
        <f aca="false">+F727*J727</f>
        <v>0</v>
      </c>
      <c r="L727" s="37" t="n">
        <f aca="false">I727*K727</f>
        <v>0</v>
      </c>
    </row>
    <row r="728" customFormat="false" ht="15" hidden="false" customHeight="false" outlineLevel="0" collapsed="false">
      <c r="A728" s="32" t="s">
        <v>1473</v>
      </c>
      <c r="B728" s="32" t="s">
        <v>23</v>
      </c>
      <c r="C728" s="32" t="s">
        <v>1474</v>
      </c>
      <c r="D728" s="32" t="s">
        <v>211</v>
      </c>
      <c r="E728" s="33" t="n">
        <v>8430942351915</v>
      </c>
      <c r="F728" s="33" t="n">
        <v>1</v>
      </c>
      <c r="G728" s="34" t="n">
        <v>634.53</v>
      </c>
      <c r="H728" s="33" t="n">
        <v>69</v>
      </c>
      <c r="I728" s="34" t="n">
        <f aca="false">G728*((100-H728)/100)</f>
        <v>196.7043</v>
      </c>
      <c r="J728" s="35"/>
      <c r="K728" s="36" t="n">
        <f aca="false">+F728*J728</f>
        <v>0</v>
      </c>
      <c r="L728" s="37" t="n">
        <f aca="false">I728*K728</f>
        <v>0</v>
      </c>
    </row>
    <row r="729" customFormat="false" ht="15" hidden="false" customHeight="false" outlineLevel="0" collapsed="false">
      <c r="A729" s="32" t="s">
        <v>1475</v>
      </c>
      <c r="B729" s="32" t="s">
        <v>23</v>
      </c>
      <c r="C729" s="32" t="s">
        <v>1476</v>
      </c>
      <c r="D729" s="32" t="s">
        <v>224</v>
      </c>
      <c r="E729" s="33" t="n">
        <v>8430942027360</v>
      </c>
      <c r="F729" s="33" t="n">
        <v>1</v>
      </c>
      <c r="G729" s="34" t="n">
        <v>33.85</v>
      </c>
      <c r="H729" s="33" t="n">
        <v>69</v>
      </c>
      <c r="I729" s="34" t="n">
        <f aca="false">G729*((100-H729)/100)</f>
        <v>10.4935</v>
      </c>
      <c r="J729" s="35"/>
      <c r="K729" s="36" t="n">
        <f aca="false">+F729*J729</f>
        <v>0</v>
      </c>
      <c r="L729" s="37" t="n">
        <f aca="false">I729*K729</f>
        <v>0</v>
      </c>
    </row>
    <row r="730" customFormat="false" ht="15" hidden="false" customHeight="false" outlineLevel="0" collapsed="false">
      <c r="A730" s="32" t="s">
        <v>1477</v>
      </c>
      <c r="B730" s="32" t="s">
        <v>23</v>
      </c>
      <c r="C730" s="32" t="s">
        <v>1478</v>
      </c>
      <c r="D730" s="32" t="s">
        <v>224</v>
      </c>
      <c r="E730" s="33" t="n">
        <v>8430942027353</v>
      </c>
      <c r="F730" s="33" t="n">
        <v>1</v>
      </c>
      <c r="G730" s="34" t="n">
        <v>35.58</v>
      </c>
      <c r="H730" s="33" t="n">
        <v>69</v>
      </c>
      <c r="I730" s="34" t="n">
        <f aca="false">G730*((100-H730)/100)</f>
        <v>11.0298</v>
      </c>
      <c r="J730" s="35"/>
      <c r="K730" s="36" t="n">
        <f aca="false">+F730*J730</f>
        <v>0</v>
      </c>
      <c r="L730" s="37" t="n">
        <f aca="false">I730*K730</f>
        <v>0</v>
      </c>
    </row>
    <row r="731" customFormat="false" ht="15" hidden="false" customHeight="false" outlineLevel="0" collapsed="false">
      <c r="A731" s="32" t="s">
        <v>1479</v>
      </c>
      <c r="B731" s="32" t="s">
        <v>23</v>
      </c>
      <c r="C731" s="32" t="s">
        <v>1480</v>
      </c>
      <c r="D731" s="32" t="s">
        <v>224</v>
      </c>
      <c r="E731" s="33" t="n">
        <v>8430942031183</v>
      </c>
      <c r="F731" s="33" t="n">
        <v>1</v>
      </c>
      <c r="G731" s="34" t="n">
        <v>38.3</v>
      </c>
      <c r="H731" s="33" t="n">
        <v>69</v>
      </c>
      <c r="I731" s="34" t="n">
        <f aca="false">G731*((100-H731)/100)</f>
        <v>11.873</v>
      </c>
      <c r="J731" s="35"/>
      <c r="K731" s="36" t="n">
        <f aca="false">+F731*J731</f>
        <v>0</v>
      </c>
      <c r="L731" s="37" t="n">
        <f aca="false">I731*K731</f>
        <v>0</v>
      </c>
    </row>
    <row r="732" customFormat="false" ht="15" hidden="false" customHeight="false" outlineLevel="0" collapsed="false">
      <c r="A732" s="32" t="s">
        <v>1481</v>
      </c>
      <c r="B732" s="32" t="s">
        <v>23</v>
      </c>
      <c r="C732" s="32" t="s">
        <v>1482</v>
      </c>
      <c r="D732" s="32" t="s">
        <v>224</v>
      </c>
      <c r="E732" s="33" t="n">
        <v>8430942027339</v>
      </c>
      <c r="F732" s="33" t="n">
        <v>1</v>
      </c>
      <c r="G732" s="34" t="n">
        <v>43.29</v>
      </c>
      <c r="H732" s="33" t="n">
        <v>69</v>
      </c>
      <c r="I732" s="34" t="n">
        <f aca="false">G732*((100-H732)/100)</f>
        <v>13.4199</v>
      </c>
      <c r="J732" s="35"/>
      <c r="K732" s="36" t="n">
        <f aca="false">+F732*J732</f>
        <v>0</v>
      </c>
      <c r="L732" s="37" t="n">
        <f aca="false">I732*K732</f>
        <v>0</v>
      </c>
    </row>
    <row r="733" customFormat="false" ht="15" hidden="false" customHeight="false" outlineLevel="0" collapsed="false">
      <c r="A733" s="32" t="s">
        <v>1483</v>
      </c>
      <c r="B733" s="32" t="s">
        <v>23</v>
      </c>
      <c r="C733" s="32" t="s">
        <v>1484</v>
      </c>
      <c r="D733" s="32" t="s">
        <v>224</v>
      </c>
      <c r="E733" s="33" t="n">
        <v>8430942031404</v>
      </c>
      <c r="F733" s="33" t="n">
        <v>1</v>
      </c>
      <c r="G733" s="34" t="n">
        <v>55.77</v>
      </c>
      <c r="H733" s="33" t="n">
        <v>69</v>
      </c>
      <c r="I733" s="34" t="n">
        <f aca="false">G733*((100-H733)/100)</f>
        <v>17.2887</v>
      </c>
      <c r="J733" s="35"/>
      <c r="K733" s="36" t="n">
        <f aca="false">+F733*J733</f>
        <v>0</v>
      </c>
      <c r="L733" s="37" t="n">
        <f aca="false">I733*K733</f>
        <v>0</v>
      </c>
    </row>
    <row r="734" customFormat="false" ht="15" hidden="false" customHeight="false" outlineLevel="0" collapsed="false">
      <c r="A734" s="32" t="s">
        <v>1485</v>
      </c>
      <c r="B734" s="32" t="s">
        <v>23</v>
      </c>
      <c r="C734" s="32" t="s">
        <v>1486</v>
      </c>
      <c r="D734" s="32" t="s">
        <v>224</v>
      </c>
      <c r="E734" s="33" t="n">
        <v>8430942027315</v>
      </c>
      <c r="F734" s="33" t="n">
        <v>1</v>
      </c>
      <c r="G734" s="34" t="n">
        <v>58.85</v>
      </c>
      <c r="H734" s="33" t="n">
        <v>69</v>
      </c>
      <c r="I734" s="34" t="n">
        <f aca="false">G734*((100-H734)/100)</f>
        <v>18.2435</v>
      </c>
      <c r="J734" s="35"/>
      <c r="K734" s="36" t="n">
        <f aca="false">+F734*J734</f>
        <v>0</v>
      </c>
      <c r="L734" s="37" t="n">
        <f aca="false">I734*K734</f>
        <v>0</v>
      </c>
    </row>
    <row r="735" customFormat="false" ht="15" hidden="false" customHeight="false" outlineLevel="0" collapsed="false">
      <c r="A735" s="32" t="s">
        <v>1487</v>
      </c>
      <c r="B735" s="32" t="s">
        <v>23</v>
      </c>
      <c r="C735" s="32" t="s">
        <v>1488</v>
      </c>
      <c r="D735" s="32" t="s">
        <v>224</v>
      </c>
      <c r="E735" s="33" t="n">
        <v>8430942027308</v>
      </c>
      <c r="F735" s="33" t="n">
        <v>1</v>
      </c>
      <c r="G735" s="34" t="n">
        <v>71.15</v>
      </c>
      <c r="H735" s="33" t="n">
        <v>69</v>
      </c>
      <c r="I735" s="34" t="n">
        <f aca="false">G735*((100-H735)/100)</f>
        <v>22.0565</v>
      </c>
      <c r="J735" s="35"/>
      <c r="K735" s="36" t="n">
        <f aca="false">+F735*J735</f>
        <v>0</v>
      </c>
      <c r="L735" s="37" t="n">
        <f aca="false">I735*K735</f>
        <v>0</v>
      </c>
    </row>
    <row r="736" customFormat="false" ht="15" hidden="false" customHeight="false" outlineLevel="0" collapsed="false">
      <c r="A736" s="32" t="s">
        <v>1489</v>
      </c>
      <c r="B736" s="32" t="s">
        <v>23</v>
      </c>
      <c r="C736" s="32" t="s">
        <v>1490</v>
      </c>
      <c r="D736" s="32" t="s">
        <v>224</v>
      </c>
      <c r="E736" s="33" t="n">
        <v>8430942027292</v>
      </c>
      <c r="F736" s="33" t="n">
        <v>1</v>
      </c>
      <c r="G736" s="34" t="n">
        <v>77.84</v>
      </c>
      <c r="H736" s="33" t="n">
        <v>69</v>
      </c>
      <c r="I736" s="34" t="n">
        <f aca="false">G736*((100-H736)/100)</f>
        <v>24.1304</v>
      </c>
      <c r="J736" s="35"/>
      <c r="K736" s="36" t="n">
        <f aca="false">+F736*J736</f>
        <v>0</v>
      </c>
      <c r="L736" s="37" t="n">
        <f aca="false">I736*K736</f>
        <v>0</v>
      </c>
    </row>
    <row r="737" customFormat="false" ht="15" hidden="false" customHeight="false" outlineLevel="0" collapsed="false">
      <c r="A737" s="32" t="s">
        <v>1491</v>
      </c>
      <c r="B737" s="32" t="s">
        <v>23</v>
      </c>
      <c r="C737" s="32" t="s">
        <v>1492</v>
      </c>
      <c r="D737" s="32" t="s">
        <v>224</v>
      </c>
      <c r="E737" s="33" t="n">
        <v>8430942329457</v>
      </c>
      <c r="F737" s="33" t="n">
        <v>1</v>
      </c>
      <c r="G737" s="34" t="n">
        <v>58.9</v>
      </c>
      <c r="H737" s="33" t="n">
        <v>69</v>
      </c>
      <c r="I737" s="34" t="n">
        <f aca="false">G737*((100-H737)/100)</f>
        <v>18.259</v>
      </c>
      <c r="J737" s="35"/>
      <c r="K737" s="36" t="n">
        <f aca="false">+F737*J737</f>
        <v>0</v>
      </c>
      <c r="L737" s="37" t="n">
        <f aca="false">I737*K737</f>
        <v>0</v>
      </c>
    </row>
    <row r="738" customFormat="false" ht="15" hidden="false" customHeight="false" outlineLevel="0" collapsed="false">
      <c r="A738" s="32" t="s">
        <v>1493</v>
      </c>
      <c r="B738" s="32" t="s">
        <v>23</v>
      </c>
      <c r="C738" s="32" t="s">
        <v>1494</v>
      </c>
      <c r="D738" s="32" t="s">
        <v>224</v>
      </c>
      <c r="E738" s="33" t="n">
        <v>8430942329464</v>
      </c>
      <c r="F738" s="33" t="n">
        <v>1</v>
      </c>
      <c r="G738" s="34" t="n">
        <v>64.85</v>
      </c>
      <c r="H738" s="33" t="n">
        <v>69</v>
      </c>
      <c r="I738" s="34" t="n">
        <f aca="false">G738*((100-H738)/100)</f>
        <v>20.1035</v>
      </c>
      <c r="J738" s="35"/>
      <c r="K738" s="36" t="n">
        <f aca="false">+F738*J738</f>
        <v>0</v>
      </c>
      <c r="L738" s="37" t="n">
        <f aca="false">I738*K738</f>
        <v>0</v>
      </c>
    </row>
    <row r="739" customFormat="false" ht="15" hidden="false" customHeight="false" outlineLevel="0" collapsed="false">
      <c r="A739" s="32" t="s">
        <v>1495</v>
      </c>
      <c r="B739" s="32" t="s">
        <v>23</v>
      </c>
      <c r="C739" s="32" t="s">
        <v>1496</v>
      </c>
      <c r="D739" s="32" t="s">
        <v>224</v>
      </c>
      <c r="E739" s="33" t="n">
        <v>8430942032203</v>
      </c>
      <c r="F739" s="33" t="n">
        <v>1</v>
      </c>
      <c r="G739" s="34" t="n">
        <v>68.45</v>
      </c>
      <c r="H739" s="33" t="n">
        <v>69</v>
      </c>
      <c r="I739" s="34" t="n">
        <f aca="false">G739*((100-H739)/100)</f>
        <v>21.2195</v>
      </c>
      <c r="J739" s="35"/>
      <c r="K739" s="36" t="n">
        <f aca="false">+F739*J739</f>
        <v>0</v>
      </c>
      <c r="L739" s="37" t="n">
        <f aca="false">I739*K739</f>
        <v>0</v>
      </c>
    </row>
    <row r="740" customFormat="false" ht="15" hidden="false" customHeight="false" outlineLevel="0" collapsed="false">
      <c r="A740" s="32" t="s">
        <v>1497</v>
      </c>
      <c r="B740" s="32" t="s">
        <v>23</v>
      </c>
      <c r="C740" s="32" t="s">
        <v>1498</v>
      </c>
      <c r="D740" s="32" t="s">
        <v>224</v>
      </c>
      <c r="E740" s="33" t="n">
        <v>8430942329488</v>
      </c>
      <c r="F740" s="33" t="n">
        <v>1</v>
      </c>
      <c r="G740" s="34" t="n">
        <v>78.8</v>
      </c>
      <c r="H740" s="33" t="n">
        <v>69</v>
      </c>
      <c r="I740" s="34" t="n">
        <f aca="false">G740*((100-H740)/100)</f>
        <v>24.428</v>
      </c>
      <c r="J740" s="35"/>
      <c r="K740" s="36" t="n">
        <f aca="false">+F740*J740</f>
        <v>0</v>
      </c>
      <c r="L740" s="37" t="n">
        <f aca="false">I740*K740</f>
        <v>0</v>
      </c>
    </row>
    <row r="741" customFormat="false" ht="15" hidden="false" customHeight="false" outlineLevel="0" collapsed="false">
      <c r="A741" s="32" t="s">
        <v>1499</v>
      </c>
      <c r="B741" s="32" t="s">
        <v>23</v>
      </c>
      <c r="C741" s="32" t="s">
        <v>1500</v>
      </c>
      <c r="D741" s="32" t="s">
        <v>224</v>
      </c>
      <c r="E741" s="33" t="n">
        <v>8430942032135</v>
      </c>
      <c r="F741" s="33" t="n">
        <v>1</v>
      </c>
      <c r="G741" s="34" t="n">
        <v>89.05</v>
      </c>
      <c r="H741" s="33" t="n">
        <v>69</v>
      </c>
      <c r="I741" s="34" t="n">
        <f aca="false">G741*((100-H741)/100)</f>
        <v>27.6055</v>
      </c>
      <c r="J741" s="35"/>
      <c r="K741" s="36" t="n">
        <f aca="false">+F741*J741</f>
        <v>0</v>
      </c>
      <c r="L741" s="37" t="n">
        <f aca="false">I741*K741</f>
        <v>0</v>
      </c>
    </row>
    <row r="742" customFormat="false" ht="15" hidden="false" customHeight="false" outlineLevel="0" collapsed="false">
      <c r="A742" s="32" t="s">
        <v>1501</v>
      </c>
      <c r="B742" s="32" t="s">
        <v>23</v>
      </c>
      <c r="C742" s="32" t="s">
        <v>1502</v>
      </c>
      <c r="D742" s="32" t="s">
        <v>224</v>
      </c>
      <c r="E742" s="33" t="n">
        <v>8430942329501</v>
      </c>
      <c r="F742" s="33" t="n">
        <v>1</v>
      </c>
      <c r="G742" s="34" t="n">
        <v>98.9</v>
      </c>
      <c r="H742" s="33" t="n">
        <v>69</v>
      </c>
      <c r="I742" s="34" t="n">
        <f aca="false">G742*((100-H742)/100)</f>
        <v>30.659</v>
      </c>
      <c r="J742" s="35"/>
      <c r="K742" s="36" t="n">
        <f aca="false">+F742*J742</f>
        <v>0</v>
      </c>
      <c r="L742" s="37" t="n">
        <f aca="false">I742*K742</f>
        <v>0</v>
      </c>
    </row>
    <row r="743" customFormat="false" ht="15" hidden="false" customHeight="false" outlineLevel="0" collapsed="false">
      <c r="A743" s="32" t="s">
        <v>1503</v>
      </c>
      <c r="B743" s="32" t="s">
        <v>23</v>
      </c>
      <c r="C743" s="32" t="s">
        <v>1504</v>
      </c>
      <c r="D743" s="32" t="s">
        <v>224</v>
      </c>
      <c r="E743" s="33" t="n">
        <v>8430942027216</v>
      </c>
      <c r="F743" s="33" t="n">
        <v>1</v>
      </c>
      <c r="G743" s="34" t="n">
        <v>112.5</v>
      </c>
      <c r="H743" s="33" t="n">
        <v>69</v>
      </c>
      <c r="I743" s="34" t="n">
        <f aca="false">G743*((100-H743)/100)</f>
        <v>34.875</v>
      </c>
      <c r="J743" s="35"/>
      <c r="K743" s="36" t="n">
        <f aca="false">+F743*J743</f>
        <v>0</v>
      </c>
      <c r="L743" s="37" t="n">
        <f aca="false">I743*K743</f>
        <v>0</v>
      </c>
    </row>
    <row r="744" customFormat="false" ht="15" hidden="false" customHeight="false" outlineLevel="0" collapsed="false">
      <c r="A744" s="32" t="s">
        <v>1505</v>
      </c>
      <c r="B744" s="32" t="s">
        <v>23</v>
      </c>
      <c r="C744" s="32" t="s">
        <v>1506</v>
      </c>
      <c r="D744" s="32" t="s">
        <v>224</v>
      </c>
      <c r="E744" s="33" t="n">
        <v>8430942027209</v>
      </c>
      <c r="F744" s="33" t="n">
        <v>1</v>
      </c>
      <c r="G744" s="34" t="n">
        <v>149</v>
      </c>
      <c r="H744" s="33" t="n">
        <v>69</v>
      </c>
      <c r="I744" s="34" t="n">
        <f aca="false">G744*((100-H744)/100)</f>
        <v>46.19</v>
      </c>
      <c r="J744" s="35"/>
      <c r="K744" s="36" t="n">
        <f aca="false">+F744*J744</f>
        <v>0</v>
      </c>
      <c r="L744" s="37" t="n">
        <f aca="false">I744*K744</f>
        <v>0</v>
      </c>
    </row>
    <row r="745" customFormat="false" ht="15" hidden="false" customHeight="false" outlineLevel="0" collapsed="false">
      <c r="A745" s="32" t="s">
        <v>723</v>
      </c>
      <c r="B745" s="32" t="s">
        <v>23</v>
      </c>
      <c r="C745" s="32" t="s">
        <v>724</v>
      </c>
      <c r="D745" s="32" t="s">
        <v>237</v>
      </c>
      <c r="E745" s="33" t="n">
        <v>8430942354268</v>
      </c>
      <c r="F745" s="33" t="n">
        <v>1</v>
      </c>
      <c r="G745" s="34" t="n">
        <v>220.16</v>
      </c>
      <c r="H745" s="33" t="n">
        <v>69</v>
      </c>
      <c r="I745" s="34" t="n">
        <f aca="false">G745*((100-H745)/100)</f>
        <v>68.2496</v>
      </c>
      <c r="J745" s="35"/>
      <c r="K745" s="36" t="n">
        <f aca="false">+F745*J745</f>
        <v>0</v>
      </c>
      <c r="L745" s="37" t="n">
        <f aca="false">I745*K745</f>
        <v>0</v>
      </c>
    </row>
    <row r="746" customFormat="false" ht="15" hidden="false" customHeight="false" outlineLevel="0" collapsed="false">
      <c r="A746" s="32" t="s">
        <v>235</v>
      </c>
      <c r="B746" s="32" t="s">
        <v>23</v>
      </c>
      <c r="C746" s="32" t="s">
        <v>236</v>
      </c>
      <c r="D746" s="32" t="s">
        <v>237</v>
      </c>
      <c r="E746" s="33" t="n">
        <v>8430942354275</v>
      </c>
      <c r="F746" s="33" t="n">
        <v>1</v>
      </c>
      <c r="G746" s="34" t="n">
        <v>222.9</v>
      </c>
      <c r="H746" s="33" t="n">
        <v>69</v>
      </c>
      <c r="I746" s="34" t="n">
        <f aca="false">G746*((100-H746)/100)</f>
        <v>69.099</v>
      </c>
      <c r="J746" s="35"/>
      <c r="K746" s="36" t="n">
        <f aca="false">+F746*J746</f>
        <v>0</v>
      </c>
      <c r="L746" s="37" t="n">
        <f aca="false">I746*K746</f>
        <v>0</v>
      </c>
    </row>
    <row r="747" customFormat="false" ht="15" hidden="false" customHeight="false" outlineLevel="0" collapsed="false">
      <c r="A747" s="32" t="s">
        <v>1507</v>
      </c>
      <c r="B747" s="32" t="s">
        <v>23</v>
      </c>
      <c r="C747" s="32" t="s">
        <v>1508</v>
      </c>
      <c r="D747" s="32" t="s">
        <v>113</v>
      </c>
      <c r="E747" s="33" t="n">
        <v>8430942027049</v>
      </c>
      <c r="F747" s="33" t="n">
        <v>1</v>
      </c>
      <c r="G747" s="34" t="n">
        <v>117.25</v>
      </c>
      <c r="H747" s="33" t="n">
        <v>69</v>
      </c>
      <c r="I747" s="34" t="n">
        <f aca="false">G747*((100-H747)/100)</f>
        <v>36.3475</v>
      </c>
      <c r="J747" s="35"/>
      <c r="K747" s="36" t="n">
        <f aca="false">+F747*J747</f>
        <v>0</v>
      </c>
      <c r="L747" s="37" t="n">
        <f aca="false">I747*K747</f>
        <v>0</v>
      </c>
    </row>
    <row r="748" customFormat="false" ht="15" hidden="false" customHeight="false" outlineLevel="0" collapsed="false">
      <c r="A748" s="32" t="s">
        <v>1509</v>
      </c>
      <c r="B748" s="32" t="s">
        <v>23</v>
      </c>
      <c r="C748" s="32" t="s">
        <v>1510</v>
      </c>
      <c r="D748" s="32" t="s">
        <v>113</v>
      </c>
      <c r="E748" s="33" t="n">
        <v>8430942031558</v>
      </c>
      <c r="F748" s="33" t="n">
        <v>1</v>
      </c>
      <c r="G748" s="34" t="n">
        <v>126</v>
      </c>
      <c r="H748" s="33" t="n">
        <v>69</v>
      </c>
      <c r="I748" s="34" t="n">
        <f aca="false">G748*((100-H748)/100)</f>
        <v>39.06</v>
      </c>
      <c r="J748" s="35"/>
      <c r="K748" s="36" t="n">
        <f aca="false">+F748*J748</f>
        <v>0</v>
      </c>
      <c r="L748" s="37" t="n">
        <f aca="false">I748*K748</f>
        <v>0</v>
      </c>
    </row>
    <row r="749" customFormat="false" ht="15" hidden="false" customHeight="false" outlineLevel="0" collapsed="false">
      <c r="A749" s="32" t="s">
        <v>1511</v>
      </c>
      <c r="B749" s="32" t="s">
        <v>23</v>
      </c>
      <c r="C749" s="32" t="s">
        <v>1512</v>
      </c>
      <c r="D749" s="32" t="s">
        <v>113</v>
      </c>
      <c r="E749" s="33" t="n">
        <v>8430942032227</v>
      </c>
      <c r="F749" s="33" t="n">
        <v>1</v>
      </c>
      <c r="G749" s="34" t="n">
        <v>142.65</v>
      </c>
      <c r="H749" s="33" t="n">
        <v>69</v>
      </c>
      <c r="I749" s="34" t="n">
        <f aca="false">G749*((100-H749)/100)</f>
        <v>44.2215</v>
      </c>
      <c r="J749" s="35"/>
      <c r="K749" s="36" t="n">
        <f aca="false">+F749*J749</f>
        <v>0</v>
      </c>
      <c r="L749" s="37" t="n">
        <f aca="false">I749*K749</f>
        <v>0</v>
      </c>
    </row>
    <row r="750" customFormat="false" ht="15" hidden="false" customHeight="false" outlineLevel="0" collapsed="false">
      <c r="A750" s="32" t="s">
        <v>1513</v>
      </c>
      <c r="B750" s="32" t="s">
        <v>23</v>
      </c>
      <c r="C750" s="32" t="s">
        <v>1514</v>
      </c>
      <c r="D750" s="32" t="s">
        <v>113</v>
      </c>
      <c r="E750" s="33" t="n">
        <v>8430942032142</v>
      </c>
      <c r="F750" s="33" t="n">
        <v>1</v>
      </c>
      <c r="G750" s="34" t="n">
        <v>149.83</v>
      </c>
      <c r="H750" s="33" t="n">
        <v>69</v>
      </c>
      <c r="I750" s="34" t="n">
        <f aca="false">G750*((100-H750)/100)</f>
        <v>46.4473</v>
      </c>
      <c r="J750" s="35"/>
      <c r="K750" s="36" t="n">
        <f aca="false">+F750*J750</f>
        <v>0</v>
      </c>
      <c r="L750" s="37" t="n">
        <f aca="false">I750*K750</f>
        <v>0</v>
      </c>
    </row>
    <row r="751" customFormat="false" ht="15" hidden="false" customHeight="false" outlineLevel="0" collapsed="false">
      <c r="A751" s="32" t="s">
        <v>1515</v>
      </c>
      <c r="B751" s="32" t="s">
        <v>23</v>
      </c>
      <c r="C751" s="32" t="s">
        <v>1516</v>
      </c>
      <c r="D751" s="32" t="s">
        <v>113</v>
      </c>
      <c r="E751" s="33" t="n">
        <v>8430942328658</v>
      </c>
      <c r="F751" s="33" t="n">
        <v>1</v>
      </c>
      <c r="G751" s="34" t="n">
        <v>175.54</v>
      </c>
      <c r="H751" s="33" t="n">
        <v>69</v>
      </c>
      <c r="I751" s="34" t="n">
        <f aca="false">G751*((100-H751)/100)</f>
        <v>54.4174</v>
      </c>
      <c r="J751" s="35"/>
      <c r="K751" s="36" t="n">
        <f aca="false">+F751*J751</f>
        <v>0</v>
      </c>
      <c r="L751" s="37" t="n">
        <f aca="false">I751*K751</f>
        <v>0</v>
      </c>
    </row>
    <row r="752" customFormat="false" ht="15" hidden="false" customHeight="false" outlineLevel="0" collapsed="false">
      <c r="A752" s="32" t="s">
        <v>1517</v>
      </c>
      <c r="B752" s="32" t="s">
        <v>23</v>
      </c>
      <c r="C752" s="32" t="s">
        <v>1518</v>
      </c>
      <c r="D752" s="32" t="s">
        <v>113</v>
      </c>
      <c r="E752" s="33" t="n">
        <v>8430942027018</v>
      </c>
      <c r="F752" s="33" t="n">
        <v>1</v>
      </c>
      <c r="G752" s="34" t="n">
        <v>209.37</v>
      </c>
      <c r="H752" s="33" t="n">
        <v>69</v>
      </c>
      <c r="I752" s="34" t="n">
        <f aca="false">G752*((100-H752)/100)</f>
        <v>64.9047</v>
      </c>
      <c r="J752" s="35"/>
      <c r="K752" s="36" t="n">
        <f aca="false">+F752*J752</f>
        <v>0</v>
      </c>
      <c r="L752" s="37" t="n">
        <f aca="false">I752*K752</f>
        <v>0</v>
      </c>
    </row>
    <row r="753" customFormat="false" ht="15" hidden="false" customHeight="false" outlineLevel="0" collapsed="false">
      <c r="A753" s="32" t="s">
        <v>1519</v>
      </c>
      <c r="B753" s="32" t="s">
        <v>23</v>
      </c>
      <c r="C753" s="32" t="s">
        <v>1520</v>
      </c>
      <c r="D753" s="32" t="s">
        <v>113</v>
      </c>
      <c r="E753" s="33" t="n">
        <v>8430942026998</v>
      </c>
      <c r="F753" s="33" t="n">
        <v>1</v>
      </c>
      <c r="G753" s="34" t="n">
        <v>249.74</v>
      </c>
      <c r="H753" s="33" t="n">
        <v>69</v>
      </c>
      <c r="I753" s="34" t="n">
        <f aca="false">G753*((100-H753)/100)</f>
        <v>77.4194</v>
      </c>
      <c r="J753" s="35"/>
      <c r="K753" s="36" t="n">
        <f aca="false">+F753*J753</f>
        <v>0</v>
      </c>
      <c r="L753" s="37" t="n">
        <f aca="false">I753*K753</f>
        <v>0</v>
      </c>
    </row>
    <row r="754" customFormat="false" ht="15" hidden="false" customHeight="false" outlineLevel="0" collapsed="false">
      <c r="A754" s="32" t="s">
        <v>872</v>
      </c>
      <c r="B754" s="32" t="s">
        <v>23</v>
      </c>
      <c r="C754" s="32" t="s">
        <v>873</v>
      </c>
      <c r="D754" s="32" t="s">
        <v>871</v>
      </c>
      <c r="E754" s="33" t="n">
        <v>8430942027131</v>
      </c>
      <c r="F754" s="33" t="n">
        <v>1</v>
      </c>
      <c r="G754" s="34" t="n">
        <v>52.11</v>
      </c>
      <c r="H754" s="33" t="n">
        <v>69</v>
      </c>
      <c r="I754" s="34" t="n">
        <f aca="false">G754*((100-H754)/100)</f>
        <v>16.1541</v>
      </c>
      <c r="J754" s="35"/>
      <c r="K754" s="36" t="n">
        <f aca="false">+F754*J754</f>
        <v>0</v>
      </c>
      <c r="L754" s="37" t="n">
        <f aca="false">I754*K754</f>
        <v>0</v>
      </c>
    </row>
    <row r="755" customFormat="false" ht="15" hidden="false" customHeight="false" outlineLevel="0" collapsed="false">
      <c r="A755" s="32" t="s">
        <v>874</v>
      </c>
      <c r="B755" s="32" t="s">
        <v>23</v>
      </c>
      <c r="C755" s="32" t="s">
        <v>875</v>
      </c>
      <c r="D755" s="32" t="s">
        <v>871</v>
      </c>
      <c r="E755" s="33" t="n">
        <v>8430942027124</v>
      </c>
      <c r="F755" s="33" t="n">
        <v>1</v>
      </c>
      <c r="G755" s="34" t="n">
        <v>54.53</v>
      </c>
      <c r="H755" s="33" t="n">
        <v>69</v>
      </c>
      <c r="I755" s="34" t="n">
        <f aca="false">G755*((100-H755)/100)</f>
        <v>16.9043</v>
      </c>
      <c r="J755" s="35"/>
      <c r="K755" s="36" t="n">
        <f aca="false">+F755*J755</f>
        <v>0</v>
      </c>
      <c r="L755" s="37" t="n">
        <f aca="false">I755*K755</f>
        <v>0</v>
      </c>
    </row>
    <row r="756" customFormat="false" ht="15" hidden="false" customHeight="false" outlineLevel="0" collapsed="false">
      <c r="A756" s="32" t="s">
        <v>1521</v>
      </c>
      <c r="B756" s="32" t="s">
        <v>23</v>
      </c>
      <c r="C756" s="32" t="s">
        <v>1522</v>
      </c>
      <c r="D756" s="32" t="s">
        <v>871</v>
      </c>
      <c r="E756" s="33" t="n">
        <v>8430942031343</v>
      </c>
      <c r="F756" s="33" t="n">
        <v>1</v>
      </c>
      <c r="G756" s="34" t="n">
        <v>68.18</v>
      </c>
      <c r="H756" s="33" t="n">
        <v>69</v>
      </c>
      <c r="I756" s="34" t="n">
        <f aca="false">G756*((100-H756)/100)</f>
        <v>21.1358</v>
      </c>
      <c r="J756" s="35"/>
      <c r="K756" s="36" t="n">
        <f aca="false">+F756*J756</f>
        <v>0</v>
      </c>
      <c r="L756" s="37" t="n">
        <f aca="false">I756*K756</f>
        <v>0</v>
      </c>
    </row>
    <row r="757" customFormat="false" ht="15" hidden="false" customHeight="false" outlineLevel="0" collapsed="false">
      <c r="A757" s="32" t="s">
        <v>1523</v>
      </c>
      <c r="B757" s="32" t="s">
        <v>23</v>
      </c>
      <c r="C757" s="32" t="s">
        <v>1524</v>
      </c>
      <c r="D757" s="32" t="s">
        <v>871</v>
      </c>
      <c r="E757" s="33" t="n">
        <v>8430942027100</v>
      </c>
      <c r="F757" s="33" t="n">
        <v>1</v>
      </c>
      <c r="G757" s="34" t="n">
        <v>73.09</v>
      </c>
      <c r="H757" s="33" t="n">
        <v>69</v>
      </c>
      <c r="I757" s="34" t="n">
        <f aca="false">G757*((100-H757)/100)</f>
        <v>22.6579</v>
      </c>
      <c r="J757" s="35"/>
      <c r="K757" s="36" t="n">
        <f aca="false">+F757*J757</f>
        <v>0</v>
      </c>
      <c r="L757" s="37" t="n">
        <f aca="false">I757*K757</f>
        <v>0</v>
      </c>
    </row>
    <row r="758" customFormat="false" ht="15" hidden="false" customHeight="false" outlineLevel="0" collapsed="false">
      <c r="A758" s="32" t="s">
        <v>1525</v>
      </c>
      <c r="B758" s="32" t="s">
        <v>23</v>
      </c>
      <c r="C758" s="32" t="s">
        <v>1526</v>
      </c>
      <c r="D758" s="32" t="s">
        <v>871</v>
      </c>
      <c r="E758" s="33" t="n">
        <v>8430942031411</v>
      </c>
      <c r="F758" s="33" t="n">
        <v>1</v>
      </c>
      <c r="G758" s="34" t="n">
        <v>79.92</v>
      </c>
      <c r="H758" s="33" t="n">
        <v>69</v>
      </c>
      <c r="I758" s="34" t="n">
        <f aca="false">G758*((100-H758)/100)</f>
        <v>24.7752</v>
      </c>
      <c r="J758" s="35"/>
      <c r="K758" s="36" t="n">
        <f aca="false">+F758*J758</f>
        <v>0</v>
      </c>
      <c r="L758" s="37" t="n">
        <f aca="false">I758*K758</f>
        <v>0</v>
      </c>
    </row>
    <row r="759" customFormat="false" ht="15" hidden="false" customHeight="false" outlineLevel="0" collapsed="false">
      <c r="A759" s="32" t="s">
        <v>1527</v>
      </c>
      <c r="B759" s="32" t="s">
        <v>23</v>
      </c>
      <c r="C759" s="32" t="s">
        <v>1528</v>
      </c>
      <c r="D759" s="32" t="s">
        <v>871</v>
      </c>
      <c r="E759" s="33" t="n">
        <v>8430942027087</v>
      </c>
      <c r="F759" s="33" t="n">
        <v>1</v>
      </c>
      <c r="G759" s="34" t="n">
        <v>89.58</v>
      </c>
      <c r="H759" s="33" t="n">
        <v>69</v>
      </c>
      <c r="I759" s="34" t="n">
        <f aca="false">G759*((100-H759)/100)</f>
        <v>27.7698</v>
      </c>
      <c r="J759" s="35"/>
      <c r="K759" s="36" t="n">
        <f aca="false">+F759*J759</f>
        <v>0</v>
      </c>
      <c r="L759" s="37" t="n">
        <f aca="false">I759*K759</f>
        <v>0</v>
      </c>
    </row>
    <row r="760" customFormat="false" ht="15" hidden="false" customHeight="false" outlineLevel="0" collapsed="false">
      <c r="A760" s="32" t="s">
        <v>1529</v>
      </c>
      <c r="B760" s="32" t="s">
        <v>23</v>
      </c>
      <c r="C760" s="32" t="s">
        <v>1530</v>
      </c>
      <c r="D760" s="32" t="s">
        <v>871</v>
      </c>
      <c r="E760" s="33" t="n">
        <v>8430942328634</v>
      </c>
      <c r="F760" s="33" t="n">
        <v>1</v>
      </c>
      <c r="G760" s="34" t="n">
        <v>106.98</v>
      </c>
      <c r="H760" s="33" t="n">
        <v>69</v>
      </c>
      <c r="I760" s="34" t="n">
        <f aca="false">G760*((100-H760)/100)</f>
        <v>33.1638</v>
      </c>
      <c r="J760" s="35"/>
      <c r="K760" s="36" t="n">
        <f aca="false">+F760*J760</f>
        <v>0</v>
      </c>
      <c r="L760" s="37" t="n">
        <f aca="false">I760*K760</f>
        <v>0</v>
      </c>
    </row>
    <row r="761" customFormat="false" ht="15" hidden="false" customHeight="false" outlineLevel="0" collapsed="false">
      <c r="A761" s="32" t="s">
        <v>1531</v>
      </c>
      <c r="B761" s="32" t="s">
        <v>23</v>
      </c>
      <c r="C761" s="32" t="s">
        <v>1532</v>
      </c>
      <c r="D761" s="32" t="s">
        <v>871</v>
      </c>
      <c r="E761" s="33" t="n">
        <v>8430942027056</v>
      </c>
      <c r="F761" s="33" t="n">
        <v>1</v>
      </c>
      <c r="G761" s="34" t="n">
        <v>120.3</v>
      </c>
      <c r="H761" s="33" t="n">
        <v>69</v>
      </c>
      <c r="I761" s="34" t="n">
        <f aca="false">G761*((100-H761)/100)</f>
        <v>37.293</v>
      </c>
      <c r="J761" s="35"/>
      <c r="K761" s="36" t="n">
        <f aca="false">+F761*J761</f>
        <v>0</v>
      </c>
      <c r="L761" s="37" t="n">
        <f aca="false">I761*K761</f>
        <v>0</v>
      </c>
    </row>
    <row r="762" customFormat="false" ht="15" hidden="false" customHeight="false" outlineLevel="0" collapsed="false">
      <c r="A762" s="32" t="s">
        <v>1533</v>
      </c>
      <c r="B762" s="32" t="s">
        <v>23</v>
      </c>
      <c r="C762" s="32" t="s">
        <v>1534</v>
      </c>
      <c r="D762" s="32" t="s">
        <v>871</v>
      </c>
      <c r="E762" s="33" t="n">
        <v>8430942027193</v>
      </c>
      <c r="F762" s="33" t="n">
        <v>1</v>
      </c>
      <c r="G762" s="34" t="n">
        <v>52.11</v>
      </c>
      <c r="H762" s="33" t="n">
        <v>69</v>
      </c>
      <c r="I762" s="34" t="n">
        <f aca="false">G762*((100-H762)/100)</f>
        <v>16.1541</v>
      </c>
      <c r="J762" s="35"/>
      <c r="K762" s="36" t="n">
        <f aca="false">+F762*J762</f>
        <v>0</v>
      </c>
      <c r="L762" s="37" t="n">
        <f aca="false">I762*K762</f>
        <v>0</v>
      </c>
    </row>
    <row r="763" customFormat="false" ht="15" hidden="false" customHeight="false" outlineLevel="0" collapsed="false">
      <c r="A763" s="32" t="s">
        <v>1535</v>
      </c>
      <c r="B763" s="32" t="s">
        <v>23</v>
      </c>
      <c r="C763" s="32" t="s">
        <v>1536</v>
      </c>
      <c r="D763" s="32" t="s">
        <v>871</v>
      </c>
      <c r="E763" s="33" t="n">
        <v>8430942027186</v>
      </c>
      <c r="F763" s="33" t="n">
        <v>1</v>
      </c>
      <c r="G763" s="34" t="n">
        <v>54.53</v>
      </c>
      <c r="H763" s="33" t="n">
        <v>69</v>
      </c>
      <c r="I763" s="34" t="n">
        <f aca="false">G763*((100-H763)/100)</f>
        <v>16.9043</v>
      </c>
      <c r="J763" s="35"/>
      <c r="K763" s="36" t="n">
        <f aca="false">+F763*J763</f>
        <v>0</v>
      </c>
      <c r="L763" s="37" t="n">
        <f aca="false">I763*K763</f>
        <v>0</v>
      </c>
    </row>
    <row r="764" customFormat="false" ht="15" hidden="false" customHeight="false" outlineLevel="0" collapsed="false">
      <c r="A764" s="32" t="s">
        <v>1537</v>
      </c>
      <c r="B764" s="32" t="s">
        <v>23</v>
      </c>
      <c r="C764" s="32" t="s">
        <v>1538</v>
      </c>
      <c r="D764" s="32" t="s">
        <v>871</v>
      </c>
      <c r="E764" s="33" t="n">
        <v>8430942031190</v>
      </c>
      <c r="F764" s="33" t="n">
        <v>1</v>
      </c>
      <c r="G764" s="34" t="n">
        <v>68.18</v>
      </c>
      <c r="H764" s="33" t="n">
        <v>69</v>
      </c>
      <c r="I764" s="34" t="n">
        <f aca="false">G764*((100-H764)/100)</f>
        <v>21.1358</v>
      </c>
      <c r="J764" s="35"/>
      <c r="K764" s="36" t="n">
        <f aca="false">+F764*J764</f>
        <v>0</v>
      </c>
      <c r="L764" s="37" t="n">
        <f aca="false">I764*K764</f>
        <v>0</v>
      </c>
    </row>
    <row r="765" customFormat="false" ht="15" hidden="false" customHeight="false" outlineLevel="0" collapsed="false">
      <c r="A765" s="32" t="s">
        <v>1539</v>
      </c>
      <c r="B765" s="32" t="s">
        <v>23</v>
      </c>
      <c r="C765" s="32" t="s">
        <v>1540</v>
      </c>
      <c r="D765" s="32" t="s">
        <v>871</v>
      </c>
      <c r="E765" s="33" t="n">
        <v>8430942003104</v>
      </c>
      <c r="F765" s="33" t="n">
        <v>1</v>
      </c>
      <c r="G765" s="34" t="n">
        <v>73.09</v>
      </c>
      <c r="H765" s="33" t="n">
        <v>69</v>
      </c>
      <c r="I765" s="34" t="n">
        <f aca="false">G765*((100-H765)/100)</f>
        <v>22.6579</v>
      </c>
      <c r="J765" s="35"/>
      <c r="K765" s="36" t="n">
        <f aca="false">+F765*J765</f>
        <v>0</v>
      </c>
      <c r="L765" s="37" t="n">
        <f aca="false">I765*K765</f>
        <v>0</v>
      </c>
    </row>
    <row r="766" customFormat="false" ht="15" hidden="false" customHeight="false" outlineLevel="0" collapsed="false">
      <c r="A766" s="32" t="s">
        <v>1541</v>
      </c>
      <c r="B766" s="32" t="s">
        <v>23</v>
      </c>
      <c r="C766" s="32" t="s">
        <v>1542</v>
      </c>
      <c r="D766" s="32" t="s">
        <v>871</v>
      </c>
      <c r="E766" s="33" t="n">
        <v>8430942031329</v>
      </c>
      <c r="F766" s="33" t="n">
        <v>1</v>
      </c>
      <c r="G766" s="34" t="n">
        <v>79.92</v>
      </c>
      <c r="H766" s="33" t="n">
        <v>69</v>
      </c>
      <c r="I766" s="34" t="n">
        <f aca="false">G766*((100-H766)/100)</f>
        <v>24.7752</v>
      </c>
      <c r="J766" s="35"/>
      <c r="K766" s="36" t="n">
        <f aca="false">+F766*J766</f>
        <v>0</v>
      </c>
      <c r="L766" s="37" t="n">
        <f aca="false">I766*K766</f>
        <v>0</v>
      </c>
    </row>
    <row r="767" customFormat="false" ht="15" hidden="false" customHeight="false" outlineLevel="0" collapsed="false">
      <c r="A767" s="32" t="s">
        <v>1543</v>
      </c>
      <c r="B767" s="32" t="s">
        <v>23</v>
      </c>
      <c r="C767" s="32" t="s">
        <v>1544</v>
      </c>
      <c r="D767" s="32" t="s">
        <v>871</v>
      </c>
      <c r="E767" s="33" t="n">
        <v>8430942039974</v>
      </c>
      <c r="F767" s="33" t="n">
        <v>1</v>
      </c>
      <c r="G767" s="34" t="n">
        <v>89.58</v>
      </c>
      <c r="H767" s="33" t="n">
        <v>69</v>
      </c>
      <c r="I767" s="34" t="n">
        <f aca="false">G767*((100-H767)/100)</f>
        <v>27.7698</v>
      </c>
      <c r="J767" s="35"/>
      <c r="K767" s="36" t="n">
        <f aca="false">+F767*J767</f>
        <v>0</v>
      </c>
      <c r="L767" s="37" t="n">
        <f aca="false">I767*K767</f>
        <v>0</v>
      </c>
    </row>
    <row r="768" customFormat="false" ht="15" hidden="false" customHeight="false" outlineLevel="0" collapsed="false">
      <c r="A768" s="32" t="s">
        <v>1545</v>
      </c>
      <c r="B768" s="32" t="s">
        <v>23</v>
      </c>
      <c r="C768" s="32" t="s">
        <v>1546</v>
      </c>
      <c r="D768" s="32" t="s">
        <v>871</v>
      </c>
      <c r="E768" s="33" t="n">
        <v>8430942004187</v>
      </c>
      <c r="F768" s="33" t="n">
        <v>1</v>
      </c>
      <c r="G768" s="34" t="n">
        <v>106.98</v>
      </c>
      <c r="H768" s="33" t="n">
        <v>69</v>
      </c>
      <c r="I768" s="34" t="n">
        <f aca="false">G768*((100-H768)/100)</f>
        <v>33.1638</v>
      </c>
      <c r="J768" s="35"/>
      <c r="K768" s="36" t="n">
        <f aca="false">+F768*J768</f>
        <v>0</v>
      </c>
      <c r="L768" s="37" t="n">
        <f aca="false">I768*K768</f>
        <v>0</v>
      </c>
    </row>
    <row r="769" customFormat="false" ht="15" hidden="false" customHeight="false" outlineLevel="0" collapsed="false">
      <c r="A769" s="32" t="s">
        <v>1547</v>
      </c>
      <c r="B769" s="32" t="s">
        <v>23</v>
      </c>
      <c r="C769" s="32" t="s">
        <v>1548</v>
      </c>
      <c r="D769" s="32" t="s">
        <v>871</v>
      </c>
      <c r="E769" s="33" t="n">
        <v>8430942027148</v>
      </c>
      <c r="F769" s="33" t="n">
        <v>1</v>
      </c>
      <c r="G769" s="34" t="n">
        <v>120.3</v>
      </c>
      <c r="H769" s="33" t="n">
        <v>69</v>
      </c>
      <c r="I769" s="34" t="n">
        <f aca="false">G769*((100-H769)/100)</f>
        <v>37.293</v>
      </c>
      <c r="J769" s="35"/>
      <c r="K769" s="36" t="n">
        <f aca="false">+F769*J769</f>
        <v>0</v>
      </c>
      <c r="L769" s="37" t="n">
        <f aca="false">I769*K769</f>
        <v>0</v>
      </c>
    </row>
    <row r="770" customFormat="false" ht="15" hidden="false" customHeight="false" outlineLevel="0" collapsed="false">
      <c r="A770" s="32" t="s">
        <v>1151</v>
      </c>
      <c r="B770" s="32" t="s">
        <v>23</v>
      </c>
      <c r="C770" s="32" t="s">
        <v>1152</v>
      </c>
      <c r="D770" s="32" t="s">
        <v>278</v>
      </c>
      <c r="E770" s="33" t="n">
        <v>8430942354466</v>
      </c>
      <c r="F770" s="33" t="n">
        <v>1</v>
      </c>
      <c r="G770" s="34" t="n">
        <v>40.26</v>
      </c>
      <c r="H770" s="33" t="n">
        <v>69</v>
      </c>
      <c r="I770" s="34" t="n">
        <f aca="false">G770*((100-H770)/100)</f>
        <v>12.4806</v>
      </c>
      <c r="J770" s="35"/>
      <c r="K770" s="36" t="n">
        <f aca="false">+F770*J770</f>
        <v>0</v>
      </c>
      <c r="L770" s="37" t="n">
        <f aca="false">I770*K770</f>
        <v>0</v>
      </c>
    </row>
    <row r="771" customFormat="false" ht="15" hidden="false" customHeight="false" outlineLevel="0" collapsed="false">
      <c r="A771" s="32" t="s">
        <v>1153</v>
      </c>
      <c r="B771" s="32" t="s">
        <v>23</v>
      </c>
      <c r="C771" s="32" t="s">
        <v>1154</v>
      </c>
      <c r="D771" s="32" t="s">
        <v>278</v>
      </c>
      <c r="E771" s="33" t="n">
        <v>8430942354473</v>
      </c>
      <c r="F771" s="33" t="n">
        <v>1</v>
      </c>
      <c r="G771" s="34" t="n">
        <v>45.4</v>
      </c>
      <c r="H771" s="33" t="n">
        <v>69</v>
      </c>
      <c r="I771" s="34" t="n">
        <f aca="false">G771*((100-H771)/100)</f>
        <v>14.074</v>
      </c>
      <c r="J771" s="35"/>
      <c r="K771" s="36" t="n">
        <f aca="false">+F771*J771</f>
        <v>0</v>
      </c>
      <c r="L771" s="37" t="n">
        <f aca="false">I771*K771</f>
        <v>0</v>
      </c>
    </row>
    <row r="772" customFormat="false" ht="15" hidden="false" customHeight="false" outlineLevel="0" collapsed="false">
      <c r="A772" s="32" t="s">
        <v>1155</v>
      </c>
      <c r="B772" s="32" t="s">
        <v>23</v>
      </c>
      <c r="C772" s="32" t="s">
        <v>1156</v>
      </c>
      <c r="D772" s="32" t="s">
        <v>278</v>
      </c>
      <c r="E772" s="33" t="n">
        <v>8430942354480</v>
      </c>
      <c r="F772" s="33" t="n">
        <v>1</v>
      </c>
      <c r="G772" s="34" t="n">
        <v>48.51</v>
      </c>
      <c r="H772" s="33" t="n">
        <v>69</v>
      </c>
      <c r="I772" s="34" t="n">
        <f aca="false">G772*((100-H772)/100)</f>
        <v>15.0381</v>
      </c>
      <c r="J772" s="35"/>
      <c r="K772" s="36" t="n">
        <f aca="false">+F772*J772</f>
        <v>0</v>
      </c>
      <c r="L772" s="37" t="n">
        <f aca="false">I772*K772</f>
        <v>0</v>
      </c>
    </row>
    <row r="773" customFormat="false" ht="15" hidden="false" customHeight="false" outlineLevel="0" collapsed="false">
      <c r="A773" s="32" t="s">
        <v>1157</v>
      </c>
      <c r="B773" s="32" t="s">
        <v>23</v>
      </c>
      <c r="C773" s="32" t="s">
        <v>1158</v>
      </c>
      <c r="D773" s="32" t="s">
        <v>278</v>
      </c>
      <c r="E773" s="33" t="n">
        <v>8430942354497</v>
      </c>
      <c r="F773" s="33" t="n">
        <v>1</v>
      </c>
      <c r="G773" s="34" t="n">
        <v>51.85</v>
      </c>
      <c r="H773" s="33" t="n">
        <v>69</v>
      </c>
      <c r="I773" s="34" t="n">
        <f aca="false">G773*((100-H773)/100)</f>
        <v>16.0735</v>
      </c>
      <c r="J773" s="35"/>
      <c r="K773" s="36" t="n">
        <f aca="false">+F773*J773</f>
        <v>0</v>
      </c>
      <c r="L773" s="37" t="n">
        <f aca="false">I773*K773</f>
        <v>0</v>
      </c>
    </row>
    <row r="774" customFormat="false" ht="15" hidden="false" customHeight="false" outlineLevel="0" collapsed="false">
      <c r="A774" s="32" t="s">
        <v>1549</v>
      </c>
      <c r="B774" s="32" t="s">
        <v>23</v>
      </c>
      <c r="C774" s="32" t="s">
        <v>1550</v>
      </c>
      <c r="D774" s="32" t="s">
        <v>278</v>
      </c>
      <c r="E774" s="33" t="n">
        <v>8430942354503</v>
      </c>
      <c r="F774" s="33" t="n">
        <v>1</v>
      </c>
      <c r="G774" s="34" t="n">
        <v>51.85</v>
      </c>
      <c r="H774" s="33" t="n">
        <v>69</v>
      </c>
      <c r="I774" s="34" t="n">
        <f aca="false">G774*((100-H774)/100)</f>
        <v>16.0735</v>
      </c>
      <c r="J774" s="35"/>
      <c r="K774" s="36" t="n">
        <f aca="false">+F774*J774</f>
        <v>0</v>
      </c>
      <c r="L774" s="37" t="n">
        <f aca="false">I774*K774</f>
        <v>0</v>
      </c>
    </row>
    <row r="775" customFormat="false" ht="15" hidden="false" customHeight="false" outlineLevel="0" collapsed="false">
      <c r="A775" s="32" t="s">
        <v>1159</v>
      </c>
      <c r="B775" s="32" t="s">
        <v>23</v>
      </c>
      <c r="C775" s="32" t="s">
        <v>1160</v>
      </c>
      <c r="D775" s="32" t="s">
        <v>278</v>
      </c>
      <c r="E775" s="33" t="n">
        <v>8430942354510</v>
      </c>
      <c r="F775" s="33" t="n">
        <v>1</v>
      </c>
      <c r="G775" s="34" t="n">
        <v>51.85</v>
      </c>
      <c r="H775" s="33" t="n">
        <v>69</v>
      </c>
      <c r="I775" s="34" t="n">
        <f aca="false">G775*((100-H775)/100)</f>
        <v>16.0735</v>
      </c>
      <c r="J775" s="35"/>
      <c r="K775" s="36" t="n">
        <f aca="false">+F775*J775</f>
        <v>0</v>
      </c>
      <c r="L775" s="37" t="n">
        <f aca="false">I775*K775</f>
        <v>0</v>
      </c>
    </row>
    <row r="776" customFormat="false" ht="15" hidden="false" customHeight="false" outlineLevel="0" collapsed="false">
      <c r="A776" s="32" t="s">
        <v>1161</v>
      </c>
      <c r="B776" s="32" t="s">
        <v>23</v>
      </c>
      <c r="C776" s="32" t="s">
        <v>1162</v>
      </c>
      <c r="D776" s="32" t="s">
        <v>278</v>
      </c>
      <c r="E776" s="33" t="n">
        <v>8430942354527</v>
      </c>
      <c r="F776" s="33" t="n">
        <v>1</v>
      </c>
      <c r="G776" s="34" t="n">
        <v>58.86</v>
      </c>
      <c r="H776" s="33" t="n">
        <v>69</v>
      </c>
      <c r="I776" s="34" t="n">
        <f aca="false">G776*((100-H776)/100)</f>
        <v>18.2466</v>
      </c>
      <c r="J776" s="35"/>
      <c r="K776" s="36" t="n">
        <f aca="false">+F776*J776</f>
        <v>0</v>
      </c>
      <c r="L776" s="37" t="n">
        <f aca="false">I776*K776</f>
        <v>0</v>
      </c>
    </row>
    <row r="777" customFormat="false" ht="15" hidden="false" customHeight="false" outlineLevel="0" collapsed="false">
      <c r="A777" s="32" t="s">
        <v>1551</v>
      </c>
      <c r="B777" s="32" t="s">
        <v>23</v>
      </c>
      <c r="C777" s="32" t="s">
        <v>1552</v>
      </c>
      <c r="D777" s="32" t="s">
        <v>278</v>
      </c>
      <c r="E777" s="33" t="n">
        <v>8430942354534</v>
      </c>
      <c r="F777" s="33" t="n">
        <v>1</v>
      </c>
      <c r="G777" s="34" t="n">
        <v>69.33</v>
      </c>
      <c r="H777" s="33" t="n">
        <v>69</v>
      </c>
      <c r="I777" s="34" t="n">
        <f aca="false">G777*((100-H777)/100)</f>
        <v>21.4923</v>
      </c>
      <c r="J777" s="35"/>
      <c r="K777" s="36" t="n">
        <f aca="false">+F777*J777</f>
        <v>0</v>
      </c>
      <c r="L777" s="37" t="n">
        <f aca="false">I777*K777</f>
        <v>0</v>
      </c>
    </row>
    <row r="778" customFormat="false" ht="15" hidden="false" customHeight="false" outlineLevel="0" collapsed="false">
      <c r="A778" s="32" t="s">
        <v>1127</v>
      </c>
      <c r="B778" s="32" t="s">
        <v>23</v>
      </c>
      <c r="C778" s="32" t="s">
        <v>1128</v>
      </c>
      <c r="D778" s="32" t="s">
        <v>878</v>
      </c>
      <c r="E778" s="33" t="n">
        <v>8430942025540</v>
      </c>
      <c r="F778" s="33" t="n">
        <v>1</v>
      </c>
      <c r="G778" s="34" t="n">
        <v>46.13</v>
      </c>
      <c r="H778" s="33" t="n">
        <v>69</v>
      </c>
      <c r="I778" s="34" t="n">
        <f aca="false">G778*((100-H778)/100)</f>
        <v>14.3003</v>
      </c>
      <c r="J778" s="35"/>
      <c r="K778" s="36" t="n">
        <f aca="false">+F778*J778</f>
        <v>0</v>
      </c>
      <c r="L778" s="37" t="n">
        <f aca="false">I778*K778</f>
        <v>0</v>
      </c>
    </row>
    <row r="779" customFormat="false" ht="15" hidden="false" customHeight="false" outlineLevel="0" collapsed="false">
      <c r="A779" s="32" t="s">
        <v>1129</v>
      </c>
      <c r="B779" s="32" t="s">
        <v>23</v>
      </c>
      <c r="C779" s="32" t="s">
        <v>1130</v>
      </c>
      <c r="D779" s="32" t="s">
        <v>878</v>
      </c>
      <c r="E779" s="33" t="n">
        <v>8430942327897</v>
      </c>
      <c r="F779" s="33" t="n">
        <v>1</v>
      </c>
      <c r="G779" s="34" t="n">
        <v>47.53</v>
      </c>
      <c r="H779" s="33" t="n">
        <v>69</v>
      </c>
      <c r="I779" s="34" t="n">
        <f aca="false">G779*((100-H779)/100)</f>
        <v>14.7343</v>
      </c>
      <c r="J779" s="35"/>
      <c r="K779" s="36" t="n">
        <f aca="false">+F779*J779</f>
        <v>0</v>
      </c>
      <c r="L779" s="37" t="n">
        <f aca="false">I779*K779</f>
        <v>0</v>
      </c>
    </row>
    <row r="780" customFormat="false" ht="15" hidden="false" customHeight="false" outlineLevel="0" collapsed="false">
      <c r="A780" s="32" t="s">
        <v>1131</v>
      </c>
      <c r="B780" s="32" t="s">
        <v>23</v>
      </c>
      <c r="C780" s="32" t="s">
        <v>1132</v>
      </c>
      <c r="D780" s="32" t="s">
        <v>878</v>
      </c>
      <c r="E780" s="33" t="n">
        <v>8430942327910</v>
      </c>
      <c r="F780" s="33" t="n">
        <v>1</v>
      </c>
      <c r="G780" s="34" t="n">
        <v>51.85</v>
      </c>
      <c r="H780" s="33" t="n">
        <v>69</v>
      </c>
      <c r="I780" s="34" t="n">
        <f aca="false">G780*((100-H780)/100)</f>
        <v>16.0735</v>
      </c>
      <c r="J780" s="35"/>
      <c r="K780" s="36" t="n">
        <f aca="false">+F780*J780</f>
        <v>0</v>
      </c>
      <c r="L780" s="37" t="n">
        <f aca="false">I780*K780</f>
        <v>0</v>
      </c>
    </row>
    <row r="781" customFormat="false" ht="15" hidden="false" customHeight="false" outlineLevel="0" collapsed="false">
      <c r="A781" s="32" t="s">
        <v>1133</v>
      </c>
      <c r="B781" s="32" t="s">
        <v>23</v>
      </c>
      <c r="C781" s="32" t="s">
        <v>1134</v>
      </c>
      <c r="D781" s="32" t="s">
        <v>878</v>
      </c>
      <c r="E781" s="33" t="n">
        <v>8430942327927</v>
      </c>
      <c r="F781" s="33" t="n">
        <v>1</v>
      </c>
      <c r="G781" s="34" t="n">
        <v>57.41</v>
      </c>
      <c r="H781" s="33" t="n">
        <v>69</v>
      </c>
      <c r="I781" s="34" t="n">
        <f aca="false">G781*((100-H781)/100)</f>
        <v>17.7971</v>
      </c>
      <c r="J781" s="35"/>
      <c r="K781" s="36" t="n">
        <f aca="false">+F781*J781</f>
        <v>0</v>
      </c>
      <c r="L781" s="37" t="n">
        <f aca="false">I781*K781</f>
        <v>0</v>
      </c>
    </row>
    <row r="782" customFormat="false" ht="15" hidden="false" customHeight="false" outlineLevel="0" collapsed="false">
      <c r="A782" s="32" t="s">
        <v>1553</v>
      </c>
      <c r="B782" s="32" t="s">
        <v>23</v>
      </c>
      <c r="C782" s="32" t="s">
        <v>1554</v>
      </c>
      <c r="D782" s="32" t="s">
        <v>878</v>
      </c>
      <c r="E782" s="33" t="n">
        <v>8430942354145</v>
      </c>
      <c r="F782" s="33" t="n">
        <v>1</v>
      </c>
      <c r="G782" s="34" t="n">
        <v>73.04</v>
      </c>
      <c r="H782" s="33" t="n">
        <v>69</v>
      </c>
      <c r="I782" s="34" t="n">
        <f aca="false">G782*((100-H782)/100)</f>
        <v>22.6424</v>
      </c>
      <c r="J782" s="35"/>
      <c r="K782" s="36" t="n">
        <f aca="false">+F782*J782</f>
        <v>0</v>
      </c>
      <c r="L782" s="37" t="n">
        <f aca="false">I782*K782</f>
        <v>0</v>
      </c>
    </row>
    <row r="783" customFormat="false" ht="15" hidden="false" customHeight="false" outlineLevel="0" collapsed="false">
      <c r="A783" s="32" t="s">
        <v>1135</v>
      </c>
      <c r="B783" s="32" t="s">
        <v>23</v>
      </c>
      <c r="C783" s="32" t="s">
        <v>1136</v>
      </c>
      <c r="D783" s="32" t="s">
        <v>878</v>
      </c>
      <c r="E783" s="33" t="n">
        <v>8430942327934</v>
      </c>
      <c r="F783" s="33" t="n">
        <v>1</v>
      </c>
      <c r="G783" s="34" t="n">
        <v>73.04</v>
      </c>
      <c r="H783" s="33" t="n">
        <v>69</v>
      </c>
      <c r="I783" s="34" t="n">
        <f aca="false">G783*((100-H783)/100)</f>
        <v>22.6424</v>
      </c>
      <c r="J783" s="35"/>
      <c r="K783" s="36" t="n">
        <f aca="false">+F783*J783</f>
        <v>0</v>
      </c>
      <c r="L783" s="37" t="n">
        <f aca="false">I783*K783</f>
        <v>0</v>
      </c>
    </row>
    <row r="784" customFormat="false" ht="15" hidden="false" customHeight="false" outlineLevel="0" collapsed="false">
      <c r="A784" s="32" t="s">
        <v>1137</v>
      </c>
      <c r="B784" s="32" t="s">
        <v>23</v>
      </c>
      <c r="C784" s="32" t="s">
        <v>1138</v>
      </c>
      <c r="D784" s="32" t="s">
        <v>878</v>
      </c>
      <c r="E784" s="33" t="n">
        <v>8430942327941</v>
      </c>
      <c r="F784" s="33" t="n">
        <v>1</v>
      </c>
      <c r="G784" s="34" t="n">
        <v>86.44</v>
      </c>
      <c r="H784" s="33" t="n">
        <v>69</v>
      </c>
      <c r="I784" s="34" t="n">
        <f aca="false">G784*((100-H784)/100)</f>
        <v>26.7964</v>
      </c>
      <c r="J784" s="35"/>
      <c r="K784" s="36" t="n">
        <f aca="false">+F784*J784</f>
        <v>0</v>
      </c>
      <c r="L784" s="37" t="n">
        <f aca="false">I784*K784</f>
        <v>0</v>
      </c>
    </row>
    <row r="785" customFormat="false" ht="15" hidden="false" customHeight="false" outlineLevel="0" collapsed="false">
      <c r="A785" s="32" t="s">
        <v>1555</v>
      </c>
      <c r="B785" s="32" t="s">
        <v>23</v>
      </c>
      <c r="C785" s="32" t="s">
        <v>1556</v>
      </c>
      <c r="D785" s="32" t="s">
        <v>878</v>
      </c>
      <c r="E785" s="33" t="n">
        <v>8430942354138</v>
      </c>
      <c r="F785" s="33" t="n">
        <v>1</v>
      </c>
      <c r="G785" s="34" t="n">
        <v>105.06</v>
      </c>
      <c r="H785" s="33" t="n">
        <v>69</v>
      </c>
      <c r="I785" s="34" t="n">
        <f aca="false">G785*((100-H785)/100)</f>
        <v>32.5686</v>
      </c>
      <c r="J785" s="35"/>
      <c r="K785" s="36" t="n">
        <f aca="false">+F785*J785</f>
        <v>0</v>
      </c>
      <c r="L785" s="37" t="n">
        <f aca="false">I785*K785</f>
        <v>0</v>
      </c>
    </row>
    <row r="786" customFormat="false" ht="15" hidden="false" customHeight="false" outlineLevel="0" collapsed="false">
      <c r="A786" s="32" t="s">
        <v>1557</v>
      </c>
      <c r="B786" s="32" t="s">
        <v>23</v>
      </c>
      <c r="C786" s="32" t="s">
        <v>1558</v>
      </c>
      <c r="D786" s="32" t="s">
        <v>1223</v>
      </c>
      <c r="E786" s="33" t="n">
        <v>8430942329358</v>
      </c>
      <c r="F786" s="33" t="n">
        <v>1</v>
      </c>
      <c r="G786" s="34" t="n">
        <v>157.27</v>
      </c>
      <c r="H786" s="33" t="n">
        <v>69</v>
      </c>
      <c r="I786" s="34" t="n">
        <f aca="false">G786*((100-H786)/100)</f>
        <v>48.7537</v>
      </c>
      <c r="J786" s="35"/>
      <c r="K786" s="36" t="n">
        <f aca="false">+F786*J786</f>
        <v>0</v>
      </c>
      <c r="L786" s="37" t="n">
        <f aca="false">I786*K786</f>
        <v>0</v>
      </c>
    </row>
    <row r="787" customFormat="false" ht="15" hidden="false" customHeight="false" outlineLevel="0" collapsed="false">
      <c r="A787" s="32" t="s">
        <v>1559</v>
      </c>
      <c r="B787" s="32" t="s">
        <v>23</v>
      </c>
      <c r="C787" s="32" t="s">
        <v>1560</v>
      </c>
      <c r="D787" s="32" t="s">
        <v>1223</v>
      </c>
      <c r="E787" s="33" t="n">
        <v>8430942329365</v>
      </c>
      <c r="F787" s="33" t="n">
        <v>1</v>
      </c>
      <c r="G787" s="34" t="n">
        <v>171.13</v>
      </c>
      <c r="H787" s="33" t="n">
        <v>69</v>
      </c>
      <c r="I787" s="34" t="n">
        <f aca="false">G787*((100-H787)/100)</f>
        <v>53.0503</v>
      </c>
      <c r="J787" s="35"/>
      <c r="K787" s="36" t="n">
        <f aca="false">+F787*J787</f>
        <v>0</v>
      </c>
      <c r="L787" s="37" t="n">
        <f aca="false">I787*K787</f>
        <v>0</v>
      </c>
    </row>
    <row r="788" customFormat="false" ht="15" hidden="false" customHeight="false" outlineLevel="0" collapsed="false">
      <c r="A788" s="32" t="s">
        <v>1561</v>
      </c>
      <c r="B788" s="32" t="s">
        <v>23</v>
      </c>
      <c r="C788" s="32" t="s">
        <v>1562</v>
      </c>
      <c r="D788" s="32" t="s">
        <v>1223</v>
      </c>
      <c r="E788" s="33" t="n">
        <v>8430942329389</v>
      </c>
      <c r="F788" s="33" t="n">
        <v>1</v>
      </c>
      <c r="G788" s="34" t="n">
        <v>192.77</v>
      </c>
      <c r="H788" s="33" t="n">
        <v>69</v>
      </c>
      <c r="I788" s="34" t="n">
        <f aca="false">G788*((100-H788)/100)</f>
        <v>59.7587</v>
      </c>
      <c r="J788" s="35"/>
      <c r="K788" s="36" t="n">
        <f aca="false">+F788*J788</f>
        <v>0</v>
      </c>
      <c r="L788" s="37" t="n">
        <f aca="false">I788*K788</f>
        <v>0</v>
      </c>
    </row>
    <row r="789" customFormat="false" ht="15" hidden="false" customHeight="false" outlineLevel="0" collapsed="false">
      <c r="A789" s="32" t="s">
        <v>1563</v>
      </c>
      <c r="B789" s="32" t="s">
        <v>23</v>
      </c>
      <c r="C789" s="32" t="s">
        <v>1564</v>
      </c>
      <c r="D789" s="32" t="s">
        <v>1223</v>
      </c>
      <c r="E789" s="33" t="n">
        <v>8430942329396</v>
      </c>
      <c r="F789" s="33" t="n">
        <v>1</v>
      </c>
      <c r="G789" s="34" t="n">
        <v>208.01</v>
      </c>
      <c r="H789" s="33" t="n">
        <v>69</v>
      </c>
      <c r="I789" s="34" t="n">
        <f aca="false">G789*((100-H789)/100)</f>
        <v>64.4831</v>
      </c>
      <c r="J789" s="35"/>
      <c r="K789" s="36" t="n">
        <f aca="false">+F789*J789</f>
        <v>0</v>
      </c>
      <c r="L789" s="37" t="n">
        <f aca="false">I789*K789</f>
        <v>0</v>
      </c>
    </row>
    <row r="790" customFormat="false" ht="15" hidden="false" customHeight="false" outlineLevel="0" collapsed="false">
      <c r="A790" s="32" t="s">
        <v>1565</v>
      </c>
      <c r="B790" s="32" t="s">
        <v>23</v>
      </c>
      <c r="C790" s="32" t="s">
        <v>1566</v>
      </c>
      <c r="D790" s="32" t="s">
        <v>1223</v>
      </c>
      <c r="E790" s="33" t="n">
        <v>8430942329419</v>
      </c>
      <c r="F790" s="33" t="n">
        <v>1</v>
      </c>
      <c r="G790" s="34" t="n">
        <v>258.15</v>
      </c>
      <c r="H790" s="33" t="n">
        <v>69</v>
      </c>
      <c r="I790" s="34" t="n">
        <f aca="false">G790*((100-H790)/100)</f>
        <v>80.0265</v>
      </c>
      <c r="J790" s="35"/>
      <c r="K790" s="36" t="n">
        <f aca="false">+F790*J790</f>
        <v>0</v>
      </c>
      <c r="L790" s="37" t="n">
        <f aca="false">I790*K790</f>
        <v>0</v>
      </c>
    </row>
    <row r="791" customFormat="false" ht="15" hidden="false" customHeight="false" outlineLevel="0" collapsed="false">
      <c r="A791" s="32" t="s">
        <v>1567</v>
      </c>
      <c r="B791" s="32" t="s">
        <v>23</v>
      </c>
      <c r="C791" s="32" t="s">
        <v>1568</v>
      </c>
      <c r="D791" s="32" t="s">
        <v>1223</v>
      </c>
      <c r="E791" s="33" t="n">
        <v>8430942329426</v>
      </c>
      <c r="F791" s="33" t="n">
        <v>1</v>
      </c>
      <c r="G791" s="34" t="n">
        <v>279.59</v>
      </c>
      <c r="H791" s="33" t="n">
        <v>69</v>
      </c>
      <c r="I791" s="34" t="n">
        <f aca="false">G791*((100-H791)/100)</f>
        <v>86.6729</v>
      </c>
      <c r="J791" s="35"/>
      <c r="K791" s="36" t="n">
        <f aca="false">+F791*J791</f>
        <v>0</v>
      </c>
      <c r="L791" s="37" t="n">
        <f aca="false">I791*K791</f>
        <v>0</v>
      </c>
    </row>
    <row r="792" customFormat="false" ht="15" hidden="false" customHeight="false" outlineLevel="0" collapsed="false">
      <c r="A792" s="32" t="s">
        <v>1569</v>
      </c>
      <c r="B792" s="32" t="s">
        <v>23</v>
      </c>
      <c r="C792" s="32" t="s">
        <v>1570</v>
      </c>
      <c r="D792" s="32" t="s">
        <v>1223</v>
      </c>
      <c r="E792" s="33" t="n">
        <v>8430942329433</v>
      </c>
      <c r="F792" s="33" t="n">
        <v>1</v>
      </c>
      <c r="G792" s="34" t="n">
        <v>316.63</v>
      </c>
      <c r="H792" s="33" t="n">
        <v>69</v>
      </c>
      <c r="I792" s="34" t="n">
        <f aca="false">G792*((100-H792)/100)</f>
        <v>98.1553</v>
      </c>
      <c r="J792" s="35"/>
      <c r="K792" s="36" t="n">
        <f aca="false">+F792*J792</f>
        <v>0</v>
      </c>
      <c r="L792" s="37" t="n">
        <f aca="false">I792*K792</f>
        <v>0</v>
      </c>
    </row>
    <row r="793" customFormat="false" ht="15" hidden="false" customHeight="false" outlineLevel="0" collapsed="false">
      <c r="A793" s="32" t="s">
        <v>1571</v>
      </c>
      <c r="B793" s="32" t="s">
        <v>23</v>
      </c>
      <c r="C793" s="32" t="s">
        <v>1572</v>
      </c>
      <c r="D793" s="32" t="s">
        <v>1223</v>
      </c>
      <c r="E793" s="33" t="n">
        <v>8430942329440</v>
      </c>
      <c r="F793" s="33" t="n">
        <v>1</v>
      </c>
      <c r="G793" s="34" t="n">
        <v>398.08</v>
      </c>
      <c r="H793" s="33" t="n">
        <v>69</v>
      </c>
      <c r="I793" s="34" t="n">
        <f aca="false">G793*((100-H793)/100)</f>
        <v>123.4048</v>
      </c>
      <c r="J793" s="35"/>
      <c r="K793" s="36" t="n">
        <f aca="false">+F793*J793</f>
        <v>0</v>
      </c>
      <c r="L793" s="37" t="n">
        <f aca="false">I793*K793</f>
        <v>0</v>
      </c>
    </row>
    <row r="794" customFormat="false" ht="15" hidden="false" customHeight="false" outlineLevel="0" collapsed="false">
      <c r="A794" s="32" t="s">
        <v>1573</v>
      </c>
      <c r="B794" s="32" t="s">
        <v>23</v>
      </c>
      <c r="C794" s="32" t="s">
        <v>1574</v>
      </c>
      <c r="D794" s="32" t="s">
        <v>1223</v>
      </c>
      <c r="E794" s="33" t="n">
        <v>8430942351731</v>
      </c>
      <c r="F794" s="33" t="n">
        <v>1</v>
      </c>
      <c r="G794" s="34" t="n">
        <v>165.12</v>
      </c>
      <c r="H794" s="33" t="n">
        <v>69</v>
      </c>
      <c r="I794" s="34" t="n">
        <f aca="false">G794*((100-H794)/100)</f>
        <v>51.1872</v>
      </c>
      <c r="J794" s="35"/>
      <c r="K794" s="36" t="n">
        <f aca="false">+F794*J794</f>
        <v>0</v>
      </c>
      <c r="L794" s="37" t="n">
        <f aca="false">I794*K794</f>
        <v>0</v>
      </c>
    </row>
    <row r="795" customFormat="false" ht="15" hidden="false" customHeight="false" outlineLevel="0" collapsed="false">
      <c r="A795" s="32" t="s">
        <v>1575</v>
      </c>
      <c r="B795" s="32" t="s">
        <v>23</v>
      </c>
      <c r="C795" s="32" t="s">
        <v>1576</v>
      </c>
      <c r="D795" s="32" t="s">
        <v>1223</v>
      </c>
      <c r="E795" s="33" t="n">
        <v>8430942351748</v>
      </c>
      <c r="F795" s="33" t="n">
        <v>1</v>
      </c>
      <c r="G795" s="34" t="n">
        <v>183.43</v>
      </c>
      <c r="H795" s="33" t="n">
        <v>69</v>
      </c>
      <c r="I795" s="34" t="n">
        <f aca="false">G795*((100-H795)/100)</f>
        <v>56.8633</v>
      </c>
      <c r="J795" s="35"/>
      <c r="K795" s="36" t="n">
        <f aca="false">+F795*J795</f>
        <v>0</v>
      </c>
      <c r="L795" s="37" t="n">
        <f aca="false">I795*K795</f>
        <v>0</v>
      </c>
    </row>
    <row r="796" customFormat="false" ht="15" hidden="false" customHeight="false" outlineLevel="0" collapsed="false">
      <c r="A796" s="32" t="s">
        <v>1577</v>
      </c>
      <c r="B796" s="32" t="s">
        <v>23</v>
      </c>
      <c r="C796" s="32" t="s">
        <v>1578</v>
      </c>
      <c r="D796" s="32" t="s">
        <v>1223</v>
      </c>
      <c r="E796" s="33" t="n">
        <v>8430942351755</v>
      </c>
      <c r="F796" s="33" t="n">
        <v>1</v>
      </c>
      <c r="G796" s="34" t="n">
        <v>206.49</v>
      </c>
      <c r="H796" s="33" t="n">
        <v>69</v>
      </c>
      <c r="I796" s="34" t="n">
        <f aca="false">G796*((100-H796)/100)</f>
        <v>64.0119</v>
      </c>
      <c r="J796" s="35"/>
      <c r="K796" s="36" t="n">
        <f aca="false">+F796*J796</f>
        <v>0</v>
      </c>
      <c r="L796" s="37" t="n">
        <f aca="false">I796*K796</f>
        <v>0</v>
      </c>
    </row>
    <row r="797" customFormat="false" ht="15" hidden="false" customHeight="false" outlineLevel="0" collapsed="false">
      <c r="A797" s="32" t="s">
        <v>1579</v>
      </c>
      <c r="B797" s="32" t="s">
        <v>23</v>
      </c>
      <c r="C797" s="32" t="s">
        <v>1580</v>
      </c>
      <c r="D797" s="32" t="s">
        <v>1223</v>
      </c>
      <c r="E797" s="33" t="n">
        <v>8430942351762</v>
      </c>
      <c r="F797" s="33" t="n">
        <v>1</v>
      </c>
      <c r="G797" s="34" t="n">
        <v>222.61</v>
      </c>
      <c r="H797" s="33" t="n">
        <v>69</v>
      </c>
      <c r="I797" s="34" t="n">
        <f aca="false">G797*((100-H797)/100)</f>
        <v>69.0091</v>
      </c>
      <c r="J797" s="35"/>
      <c r="K797" s="36" t="n">
        <f aca="false">+F797*J797</f>
        <v>0</v>
      </c>
      <c r="L797" s="37" t="n">
        <f aca="false">I797*K797</f>
        <v>0</v>
      </c>
    </row>
    <row r="798" customFormat="false" ht="15" hidden="false" customHeight="false" outlineLevel="0" collapsed="false">
      <c r="A798" s="32" t="s">
        <v>1581</v>
      </c>
      <c r="B798" s="32" t="s">
        <v>23</v>
      </c>
      <c r="C798" s="32" t="s">
        <v>1582</v>
      </c>
      <c r="D798" s="32" t="s">
        <v>1223</v>
      </c>
      <c r="E798" s="33" t="n">
        <v>8430942351779</v>
      </c>
      <c r="F798" s="33" t="n">
        <v>1</v>
      </c>
      <c r="G798" s="34" t="n">
        <v>275.1</v>
      </c>
      <c r="H798" s="33" t="n">
        <v>69</v>
      </c>
      <c r="I798" s="34" t="n">
        <f aca="false">G798*((100-H798)/100)</f>
        <v>85.281</v>
      </c>
      <c r="J798" s="35"/>
      <c r="K798" s="36" t="n">
        <f aca="false">+F798*J798</f>
        <v>0</v>
      </c>
      <c r="L798" s="37" t="n">
        <f aca="false">I798*K798</f>
        <v>0</v>
      </c>
    </row>
    <row r="799" customFormat="false" ht="15" hidden="false" customHeight="false" outlineLevel="0" collapsed="false">
      <c r="A799" s="32" t="s">
        <v>1583</v>
      </c>
      <c r="B799" s="32" t="s">
        <v>23</v>
      </c>
      <c r="C799" s="32" t="s">
        <v>1584</v>
      </c>
      <c r="D799" s="32" t="s">
        <v>1223</v>
      </c>
      <c r="E799" s="33" t="n">
        <v>8430942351786</v>
      </c>
      <c r="F799" s="33" t="n">
        <v>1</v>
      </c>
      <c r="G799" s="34" t="n">
        <v>297.74</v>
      </c>
      <c r="H799" s="33" t="n">
        <v>69</v>
      </c>
      <c r="I799" s="34" t="n">
        <f aca="false">G799*((100-H799)/100)</f>
        <v>92.2994</v>
      </c>
      <c r="J799" s="35"/>
      <c r="K799" s="36" t="n">
        <f aca="false">+F799*J799</f>
        <v>0</v>
      </c>
      <c r="L799" s="37" t="n">
        <f aca="false">I799*K799</f>
        <v>0</v>
      </c>
    </row>
    <row r="800" customFormat="false" ht="15" hidden="false" customHeight="false" outlineLevel="0" collapsed="false">
      <c r="A800" s="32" t="s">
        <v>1585</v>
      </c>
      <c r="B800" s="32" t="s">
        <v>23</v>
      </c>
      <c r="C800" s="32" t="s">
        <v>1586</v>
      </c>
      <c r="D800" s="32" t="s">
        <v>1223</v>
      </c>
      <c r="E800" s="33" t="n">
        <v>8430942351793</v>
      </c>
      <c r="F800" s="33" t="n">
        <v>1</v>
      </c>
      <c r="G800" s="34" t="n">
        <v>336.6</v>
      </c>
      <c r="H800" s="33" t="n">
        <v>69</v>
      </c>
      <c r="I800" s="34" t="n">
        <f aca="false">G800*((100-H800)/100)</f>
        <v>104.346</v>
      </c>
      <c r="J800" s="35"/>
      <c r="K800" s="36" t="n">
        <f aca="false">+F800*J800</f>
        <v>0</v>
      </c>
      <c r="L800" s="37" t="n">
        <f aca="false">I800*K800</f>
        <v>0</v>
      </c>
    </row>
    <row r="801" customFormat="false" ht="15" hidden="false" customHeight="false" outlineLevel="0" collapsed="false">
      <c r="A801" s="32" t="s">
        <v>1587</v>
      </c>
      <c r="B801" s="32" t="s">
        <v>23</v>
      </c>
      <c r="C801" s="32" t="s">
        <v>1588</v>
      </c>
      <c r="D801" s="32" t="s">
        <v>1223</v>
      </c>
      <c r="E801" s="33" t="n">
        <v>8430942351816</v>
      </c>
      <c r="F801" s="33" t="n">
        <v>1</v>
      </c>
      <c r="G801" s="34" t="n">
        <v>417.58</v>
      </c>
      <c r="H801" s="33" t="n">
        <v>69</v>
      </c>
      <c r="I801" s="34" t="n">
        <f aca="false">G801*((100-H801)/100)</f>
        <v>129.4498</v>
      </c>
      <c r="J801" s="35"/>
      <c r="K801" s="36" t="n">
        <f aca="false">+F801*J801</f>
        <v>0</v>
      </c>
      <c r="L801" s="37" t="n">
        <f aca="false">I801*K801</f>
        <v>0</v>
      </c>
    </row>
    <row r="802" customFormat="false" ht="15" hidden="false" customHeight="false" outlineLevel="0" collapsed="false">
      <c r="A802" s="32" t="s">
        <v>1589</v>
      </c>
      <c r="B802" s="32" t="s">
        <v>23</v>
      </c>
      <c r="C802" s="32" t="s">
        <v>1590</v>
      </c>
      <c r="D802" s="32" t="s">
        <v>1591</v>
      </c>
      <c r="E802" s="33" t="n">
        <v>8430942352134</v>
      </c>
      <c r="F802" s="33" t="n">
        <v>1</v>
      </c>
      <c r="G802" s="34" t="n">
        <v>77.9</v>
      </c>
      <c r="H802" s="33" t="n">
        <v>69</v>
      </c>
      <c r="I802" s="34" t="n">
        <f aca="false">G802*((100-H802)/100)</f>
        <v>24.149</v>
      </c>
      <c r="J802" s="35"/>
      <c r="K802" s="36" t="n">
        <f aca="false">+F802*J802</f>
        <v>0</v>
      </c>
      <c r="L802" s="37" t="n">
        <f aca="false">I802*K802</f>
        <v>0</v>
      </c>
    </row>
    <row r="803" customFormat="false" ht="15" hidden="false" customHeight="false" outlineLevel="0" collapsed="false">
      <c r="A803" s="32" t="s">
        <v>1592</v>
      </c>
      <c r="B803" s="32" t="s">
        <v>23</v>
      </c>
      <c r="C803" s="32" t="s">
        <v>1593</v>
      </c>
      <c r="D803" s="32" t="s">
        <v>1591</v>
      </c>
      <c r="E803" s="33" t="n">
        <v>8430942328665</v>
      </c>
      <c r="F803" s="33" t="n">
        <v>1</v>
      </c>
      <c r="G803" s="34" t="n">
        <v>31.92</v>
      </c>
      <c r="H803" s="33" t="n">
        <v>69</v>
      </c>
      <c r="I803" s="34" t="n">
        <f aca="false">G803*((100-H803)/100)</f>
        <v>9.8952</v>
      </c>
      <c r="J803" s="35"/>
      <c r="K803" s="36" t="n">
        <f aca="false">+F803*J803</f>
        <v>0</v>
      </c>
      <c r="L803" s="37" t="n">
        <f aca="false">I803*K803</f>
        <v>0</v>
      </c>
    </row>
    <row r="804" customFormat="false" ht="15" hidden="false" customHeight="false" outlineLevel="0" collapsed="false">
      <c r="A804" s="32" t="s">
        <v>1594</v>
      </c>
      <c r="B804" s="32" t="s">
        <v>23</v>
      </c>
      <c r="C804" s="32" t="s">
        <v>1595</v>
      </c>
      <c r="D804" s="32" t="s">
        <v>1591</v>
      </c>
      <c r="E804" s="33" t="n">
        <v>8430942328672</v>
      </c>
      <c r="F804" s="33" t="n">
        <v>1</v>
      </c>
      <c r="G804" s="34" t="n">
        <v>33.46</v>
      </c>
      <c r="H804" s="33" t="n">
        <v>69</v>
      </c>
      <c r="I804" s="34" t="n">
        <f aca="false">G804*((100-H804)/100)</f>
        <v>10.3726</v>
      </c>
      <c r="J804" s="35"/>
      <c r="K804" s="36" t="n">
        <f aca="false">+F804*J804</f>
        <v>0</v>
      </c>
      <c r="L804" s="37" t="n">
        <f aca="false">I804*K804</f>
        <v>0</v>
      </c>
    </row>
    <row r="805" customFormat="false" ht="15" hidden="false" customHeight="false" outlineLevel="0" collapsed="false">
      <c r="A805" s="32" t="s">
        <v>1596</v>
      </c>
      <c r="B805" s="32" t="s">
        <v>23</v>
      </c>
      <c r="C805" s="32" t="s">
        <v>1597</v>
      </c>
      <c r="D805" s="32" t="s">
        <v>1591</v>
      </c>
      <c r="E805" s="33" t="n">
        <v>8430942328696</v>
      </c>
      <c r="F805" s="33" t="n">
        <v>1</v>
      </c>
      <c r="G805" s="34" t="n">
        <v>33.46</v>
      </c>
      <c r="H805" s="33" t="n">
        <v>69</v>
      </c>
      <c r="I805" s="34" t="n">
        <f aca="false">G805*((100-H805)/100)</f>
        <v>10.3726</v>
      </c>
      <c r="J805" s="35"/>
      <c r="K805" s="36" t="n">
        <f aca="false">+F805*J805</f>
        <v>0</v>
      </c>
      <c r="L805" s="37" t="n">
        <f aca="false">I805*K805</f>
        <v>0</v>
      </c>
    </row>
    <row r="806" customFormat="false" ht="15" hidden="false" customHeight="false" outlineLevel="0" collapsed="false">
      <c r="A806" s="32" t="s">
        <v>1598</v>
      </c>
      <c r="B806" s="32" t="s">
        <v>23</v>
      </c>
      <c r="C806" s="32" t="s">
        <v>1599</v>
      </c>
      <c r="D806" s="32" t="s">
        <v>1591</v>
      </c>
      <c r="E806" s="33" t="n">
        <v>8430942328702</v>
      </c>
      <c r="F806" s="33" t="n">
        <v>1</v>
      </c>
      <c r="G806" s="34" t="n">
        <v>36.73</v>
      </c>
      <c r="H806" s="33" t="n">
        <v>69</v>
      </c>
      <c r="I806" s="34" t="n">
        <f aca="false">G806*((100-H806)/100)</f>
        <v>11.3863</v>
      </c>
      <c r="J806" s="35"/>
      <c r="K806" s="36" t="n">
        <f aca="false">+F806*J806</f>
        <v>0</v>
      </c>
      <c r="L806" s="37" t="n">
        <f aca="false">I806*K806</f>
        <v>0</v>
      </c>
    </row>
    <row r="807" customFormat="false" ht="15" hidden="false" customHeight="false" outlineLevel="0" collapsed="false">
      <c r="A807" s="32" t="s">
        <v>1600</v>
      </c>
      <c r="B807" s="32" t="s">
        <v>23</v>
      </c>
      <c r="C807" s="32" t="s">
        <v>1601</v>
      </c>
      <c r="D807" s="32" t="s">
        <v>1591</v>
      </c>
      <c r="E807" s="33" t="n">
        <v>8430942328726</v>
      </c>
      <c r="F807" s="33" t="n">
        <v>1</v>
      </c>
      <c r="G807" s="34" t="n">
        <v>39.04</v>
      </c>
      <c r="H807" s="33" t="n">
        <v>69</v>
      </c>
      <c r="I807" s="34" t="n">
        <f aca="false">G807*((100-H807)/100)</f>
        <v>12.1024</v>
      </c>
      <c r="J807" s="35"/>
      <c r="K807" s="36" t="n">
        <f aca="false">+F807*J807</f>
        <v>0</v>
      </c>
      <c r="L807" s="37" t="n">
        <f aca="false">I807*K807</f>
        <v>0</v>
      </c>
    </row>
    <row r="808" customFormat="false" ht="15" hidden="false" customHeight="false" outlineLevel="0" collapsed="false">
      <c r="A808" s="32" t="s">
        <v>1602</v>
      </c>
      <c r="B808" s="32" t="s">
        <v>23</v>
      </c>
      <c r="C808" s="32" t="s">
        <v>1603</v>
      </c>
      <c r="D808" s="32" t="s">
        <v>1591</v>
      </c>
      <c r="E808" s="33" t="n">
        <v>8430942328733</v>
      </c>
      <c r="F808" s="33" t="n">
        <v>1</v>
      </c>
      <c r="G808" s="34" t="n">
        <v>44.62</v>
      </c>
      <c r="H808" s="33" t="n">
        <v>69</v>
      </c>
      <c r="I808" s="34" t="n">
        <f aca="false">G808*((100-H808)/100)</f>
        <v>13.8322</v>
      </c>
      <c r="J808" s="35"/>
      <c r="K808" s="36" t="n">
        <f aca="false">+F808*J808</f>
        <v>0</v>
      </c>
      <c r="L808" s="37" t="n">
        <f aca="false">I808*K808</f>
        <v>0</v>
      </c>
    </row>
    <row r="809" customFormat="false" ht="15" hidden="false" customHeight="false" outlineLevel="0" collapsed="false">
      <c r="A809" s="32" t="s">
        <v>1604</v>
      </c>
      <c r="B809" s="32" t="s">
        <v>23</v>
      </c>
      <c r="C809" s="32" t="s">
        <v>1605</v>
      </c>
      <c r="D809" s="32" t="s">
        <v>1591</v>
      </c>
      <c r="E809" s="33" t="n">
        <v>8430942328740</v>
      </c>
      <c r="F809" s="33" t="n">
        <v>1</v>
      </c>
      <c r="G809" s="34" t="n">
        <v>50.38</v>
      </c>
      <c r="H809" s="33" t="n">
        <v>69</v>
      </c>
      <c r="I809" s="34" t="n">
        <f aca="false">G809*((100-H809)/100)</f>
        <v>15.6178</v>
      </c>
      <c r="J809" s="35"/>
      <c r="K809" s="36" t="n">
        <f aca="false">+F809*J809</f>
        <v>0</v>
      </c>
      <c r="L809" s="37" t="n">
        <f aca="false">I809*K809</f>
        <v>0</v>
      </c>
    </row>
    <row r="810" customFormat="false" ht="15" hidden="false" customHeight="false" outlineLevel="0" collapsed="false">
      <c r="A810" s="32" t="s">
        <v>1606</v>
      </c>
      <c r="B810" s="32" t="s">
        <v>23</v>
      </c>
      <c r="C810" s="32" t="s">
        <v>1607</v>
      </c>
      <c r="D810" s="32" t="s">
        <v>1591</v>
      </c>
      <c r="E810" s="33" t="n">
        <v>8430942328757</v>
      </c>
      <c r="F810" s="33" t="n">
        <v>1</v>
      </c>
      <c r="G810" s="34" t="n">
        <v>54.81</v>
      </c>
      <c r="H810" s="33" t="n">
        <v>69</v>
      </c>
      <c r="I810" s="34" t="n">
        <f aca="false">G810*((100-H810)/100)</f>
        <v>16.9911</v>
      </c>
      <c r="J810" s="35"/>
      <c r="K810" s="36" t="n">
        <f aca="false">+F810*J810</f>
        <v>0</v>
      </c>
      <c r="L810" s="37" t="n">
        <f aca="false">I810*K810</f>
        <v>0</v>
      </c>
    </row>
    <row r="811" customFormat="false" ht="15" hidden="false" customHeight="false" outlineLevel="0" collapsed="false">
      <c r="A811" s="32" t="s">
        <v>1608</v>
      </c>
      <c r="B811" s="32" t="s">
        <v>23</v>
      </c>
      <c r="C811" s="32" t="s">
        <v>1609</v>
      </c>
      <c r="D811" s="32" t="s">
        <v>758</v>
      </c>
      <c r="E811" s="33" t="n">
        <v>8430942328818</v>
      </c>
      <c r="F811" s="33" t="n">
        <v>1</v>
      </c>
      <c r="G811" s="34" t="n">
        <v>10.06</v>
      </c>
      <c r="H811" s="33" t="n">
        <v>69</v>
      </c>
      <c r="I811" s="34" t="n">
        <f aca="false">G811*((100-H811)/100)</f>
        <v>3.1186</v>
      </c>
      <c r="J811" s="35"/>
      <c r="K811" s="36" t="n">
        <f aca="false">+F811*J811</f>
        <v>0</v>
      </c>
      <c r="L811" s="37" t="n">
        <f aca="false">I811*K811</f>
        <v>0</v>
      </c>
    </row>
    <row r="812" customFormat="false" ht="15" hidden="false" customHeight="false" outlineLevel="0" collapsed="false">
      <c r="A812" s="32" t="s">
        <v>1610</v>
      </c>
      <c r="B812" s="32" t="s">
        <v>23</v>
      </c>
      <c r="C812" s="32" t="s">
        <v>1611</v>
      </c>
      <c r="D812" s="32" t="s">
        <v>758</v>
      </c>
      <c r="E812" s="33" t="n">
        <v>8430942328825</v>
      </c>
      <c r="F812" s="33" t="n">
        <v>1</v>
      </c>
      <c r="G812" s="34" t="n">
        <v>10.15</v>
      </c>
      <c r="H812" s="33" t="n">
        <v>69</v>
      </c>
      <c r="I812" s="34" t="n">
        <f aca="false">G812*((100-H812)/100)</f>
        <v>3.1465</v>
      </c>
      <c r="J812" s="35"/>
      <c r="K812" s="36" t="n">
        <f aca="false">+F812*J812</f>
        <v>0</v>
      </c>
      <c r="L812" s="37" t="n">
        <f aca="false">I812*K812</f>
        <v>0</v>
      </c>
    </row>
    <row r="813" customFormat="false" ht="15" hidden="false" customHeight="false" outlineLevel="0" collapsed="false">
      <c r="A813" s="32" t="s">
        <v>1612</v>
      </c>
      <c r="B813" s="32" t="s">
        <v>23</v>
      </c>
      <c r="C813" s="32" t="s">
        <v>1613</v>
      </c>
      <c r="D813" s="32" t="s">
        <v>758</v>
      </c>
      <c r="E813" s="33" t="n">
        <v>8430942328849</v>
      </c>
      <c r="F813" s="33" t="n">
        <v>1</v>
      </c>
      <c r="G813" s="34" t="n">
        <v>11.47</v>
      </c>
      <c r="H813" s="33" t="n">
        <v>69</v>
      </c>
      <c r="I813" s="34" t="n">
        <f aca="false">G813*((100-H813)/100)</f>
        <v>3.5557</v>
      </c>
      <c r="J813" s="35"/>
      <c r="K813" s="36" t="n">
        <f aca="false">+F813*J813</f>
        <v>0</v>
      </c>
      <c r="L813" s="37" t="n">
        <f aca="false">I813*K813</f>
        <v>0</v>
      </c>
    </row>
    <row r="814" customFormat="false" ht="15" hidden="false" customHeight="false" outlineLevel="0" collapsed="false">
      <c r="A814" s="32" t="s">
        <v>1614</v>
      </c>
      <c r="B814" s="32" t="s">
        <v>23</v>
      </c>
      <c r="C814" s="32" t="s">
        <v>1615</v>
      </c>
      <c r="D814" s="32" t="s">
        <v>758</v>
      </c>
      <c r="E814" s="33" t="n">
        <v>8430942328856</v>
      </c>
      <c r="F814" s="33" t="n">
        <v>1</v>
      </c>
      <c r="G814" s="34" t="n">
        <v>11.65</v>
      </c>
      <c r="H814" s="33" t="n">
        <v>69</v>
      </c>
      <c r="I814" s="34" t="n">
        <f aca="false">G814*((100-H814)/100)</f>
        <v>3.6115</v>
      </c>
      <c r="J814" s="35"/>
      <c r="K814" s="36" t="n">
        <f aca="false">+F814*J814</f>
        <v>0</v>
      </c>
      <c r="L814" s="37" t="n">
        <f aca="false">I814*K814</f>
        <v>0</v>
      </c>
    </row>
    <row r="815" customFormat="false" ht="15" hidden="false" customHeight="false" outlineLevel="0" collapsed="false">
      <c r="A815" s="32" t="s">
        <v>1616</v>
      </c>
      <c r="B815" s="32" t="s">
        <v>23</v>
      </c>
      <c r="C815" s="32" t="s">
        <v>1617</v>
      </c>
      <c r="D815" s="32" t="s">
        <v>758</v>
      </c>
      <c r="E815" s="33" t="n">
        <v>8430942328870</v>
      </c>
      <c r="F815" s="33" t="n">
        <v>1</v>
      </c>
      <c r="G815" s="34" t="n">
        <v>12.31</v>
      </c>
      <c r="H815" s="33" t="n">
        <v>69</v>
      </c>
      <c r="I815" s="34" t="n">
        <f aca="false">G815*((100-H815)/100)</f>
        <v>3.8161</v>
      </c>
      <c r="J815" s="35"/>
      <c r="K815" s="36" t="n">
        <f aca="false">+F815*J815</f>
        <v>0</v>
      </c>
      <c r="L815" s="37" t="n">
        <f aca="false">I815*K815</f>
        <v>0</v>
      </c>
    </row>
    <row r="816" customFormat="false" ht="15" hidden="false" customHeight="false" outlineLevel="0" collapsed="false">
      <c r="A816" s="32" t="s">
        <v>1618</v>
      </c>
      <c r="B816" s="32" t="s">
        <v>23</v>
      </c>
      <c r="C816" s="32" t="s">
        <v>1619</v>
      </c>
      <c r="D816" s="32" t="s">
        <v>758</v>
      </c>
      <c r="E816" s="33" t="n">
        <v>8430942328887</v>
      </c>
      <c r="F816" s="33" t="n">
        <v>1</v>
      </c>
      <c r="G816" s="34" t="n">
        <v>12.8</v>
      </c>
      <c r="H816" s="33" t="n">
        <v>69</v>
      </c>
      <c r="I816" s="34" t="n">
        <f aca="false">G816*((100-H816)/100)</f>
        <v>3.968</v>
      </c>
      <c r="J816" s="35"/>
      <c r="K816" s="36" t="n">
        <f aca="false">+F816*J816</f>
        <v>0</v>
      </c>
      <c r="L816" s="37" t="n">
        <f aca="false">I816*K816</f>
        <v>0</v>
      </c>
    </row>
    <row r="817" customFormat="false" ht="15" hidden="false" customHeight="false" outlineLevel="0" collapsed="false">
      <c r="A817" s="32" t="s">
        <v>1620</v>
      </c>
      <c r="B817" s="32" t="s">
        <v>23</v>
      </c>
      <c r="C817" s="32" t="s">
        <v>1621</v>
      </c>
      <c r="D817" s="32" t="s">
        <v>758</v>
      </c>
      <c r="E817" s="33" t="n">
        <v>8430942328894</v>
      </c>
      <c r="F817" s="33" t="n">
        <v>1</v>
      </c>
      <c r="G817" s="34" t="n">
        <v>22.06</v>
      </c>
      <c r="H817" s="33" t="n">
        <v>69</v>
      </c>
      <c r="I817" s="34" t="n">
        <f aca="false">G817*((100-H817)/100)</f>
        <v>6.8386</v>
      </c>
      <c r="J817" s="35"/>
      <c r="K817" s="36" t="n">
        <f aca="false">+F817*J817</f>
        <v>0</v>
      </c>
      <c r="L817" s="37" t="n">
        <f aca="false">I817*K817</f>
        <v>0</v>
      </c>
    </row>
    <row r="818" customFormat="false" ht="15" hidden="false" customHeight="false" outlineLevel="0" collapsed="false">
      <c r="A818" s="32" t="s">
        <v>1622</v>
      </c>
      <c r="B818" s="32" t="s">
        <v>23</v>
      </c>
      <c r="C818" s="32" t="s">
        <v>1623</v>
      </c>
      <c r="D818" s="32" t="s">
        <v>758</v>
      </c>
      <c r="E818" s="33" t="n">
        <v>8430942328900</v>
      </c>
      <c r="F818" s="33" t="n">
        <v>1</v>
      </c>
      <c r="G818" s="34" t="n">
        <v>26.47</v>
      </c>
      <c r="H818" s="33" t="n">
        <v>69</v>
      </c>
      <c r="I818" s="34" t="n">
        <f aca="false">G818*((100-H818)/100)</f>
        <v>8.2057</v>
      </c>
      <c r="J818" s="35"/>
      <c r="K818" s="36" t="n">
        <f aca="false">+F818*J818</f>
        <v>0</v>
      </c>
      <c r="L818" s="37" t="n">
        <f aca="false">I818*K818</f>
        <v>0</v>
      </c>
    </row>
    <row r="819" customFormat="false" ht="15" hidden="false" customHeight="false" outlineLevel="0" collapsed="false">
      <c r="A819" s="32" t="s">
        <v>1221</v>
      </c>
      <c r="B819" s="32" t="s">
        <v>23</v>
      </c>
      <c r="C819" s="32" t="s">
        <v>1222</v>
      </c>
      <c r="D819" s="32" t="s">
        <v>1223</v>
      </c>
      <c r="E819" s="33" t="n">
        <v>8430942354589</v>
      </c>
      <c r="F819" s="33" t="n">
        <v>1</v>
      </c>
      <c r="G819" s="34" t="n">
        <v>32.4</v>
      </c>
      <c r="H819" s="33" t="n">
        <v>69</v>
      </c>
      <c r="I819" s="34" t="n">
        <f aca="false">G819*((100-H819)/100)</f>
        <v>10.044</v>
      </c>
      <c r="J819" s="35"/>
      <c r="K819" s="36" t="n">
        <f aca="false">+F819*J819</f>
        <v>0</v>
      </c>
      <c r="L819" s="37" t="n">
        <f aca="false">I819*K819</f>
        <v>0</v>
      </c>
    </row>
    <row r="820" customFormat="false" ht="15" hidden="false" customHeight="false" outlineLevel="0" collapsed="false">
      <c r="A820" s="32" t="s">
        <v>1224</v>
      </c>
      <c r="B820" s="32" t="s">
        <v>23</v>
      </c>
      <c r="C820" s="32" t="s">
        <v>1225</v>
      </c>
      <c r="D820" s="32" t="s">
        <v>1223</v>
      </c>
      <c r="E820" s="33" t="n">
        <v>8430942354596</v>
      </c>
      <c r="F820" s="33" t="n">
        <v>1</v>
      </c>
      <c r="G820" s="34" t="n">
        <v>34.19</v>
      </c>
      <c r="H820" s="33" t="n">
        <v>69</v>
      </c>
      <c r="I820" s="34" t="n">
        <f aca="false">G820*((100-H820)/100)</f>
        <v>10.5989</v>
      </c>
      <c r="J820" s="35"/>
      <c r="K820" s="36" t="n">
        <f aca="false">+F820*J820</f>
        <v>0</v>
      </c>
      <c r="L820" s="37" t="n">
        <f aca="false">I820*K820</f>
        <v>0</v>
      </c>
    </row>
    <row r="821" customFormat="false" ht="15" hidden="false" customHeight="false" outlineLevel="0" collapsed="false">
      <c r="A821" s="32" t="s">
        <v>1226</v>
      </c>
      <c r="B821" s="32" t="s">
        <v>23</v>
      </c>
      <c r="C821" s="32" t="s">
        <v>1227</v>
      </c>
      <c r="D821" s="32" t="s">
        <v>1223</v>
      </c>
      <c r="E821" s="33" t="n">
        <v>8430942354602</v>
      </c>
      <c r="F821" s="33" t="n">
        <v>1</v>
      </c>
      <c r="G821" s="34" t="n">
        <v>37.77</v>
      </c>
      <c r="H821" s="33" t="n">
        <v>69</v>
      </c>
      <c r="I821" s="34" t="n">
        <f aca="false">G821*((100-H821)/100)</f>
        <v>11.7087</v>
      </c>
      <c r="J821" s="35"/>
      <c r="K821" s="36" t="n">
        <f aca="false">+F821*J821</f>
        <v>0</v>
      </c>
      <c r="L821" s="37" t="n">
        <f aca="false">I821*K821</f>
        <v>0</v>
      </c>
    </row>
    <row r="822" customFormat="false" ht="15" hidden="false" customHeight="false" outlineLevel="0" collapsed="false">
      <c r="A822" s="32" t="s">
        <v>1228</v>
      </c>
      <c r="B822" s="32" t="s">
        <v>23</v>
      </c>
      <c r="C822" s="32" t="s">
        <v>1229</v>
      </c>
      <c r="D822" s="32" t="s">
        <v>1223</v>
      </c>
      <c r="E822" s="33" t="n">
        <v>8430942354619</v>
      </c>
      <c r="F822" s="33" t="n">
        <v>1</v>
      </c>
      <c r="G822" s="34" t="n">
        <v>39.15</v>
      </c>
      <c r="H822" s="33" t="n">
        <v>69</v>
      </c>
      <c r="I822" s="34" t="n">
        <f aca="false">G822*((100-H822)/100)</f>
        <v>12.1365</v>
      </c>
      <c r="J822" s="35"/>
      <c r="K822" s="36" t="n">
        <f aca="false">+F822*J822</f>
        <v>0</v>
      </c>
      <c r="L822" s="37" t="n">
        <f aca="false">I822*K822</f>
        <v>0</v>
      </c>
    </row>
    <row r="823" customFormat="false" ht="15" hidden="false" customHeight="false" outlineLevel="0" collapsed="false">
      <c r="A823" s="32" t="s">
        <v>1624</v>
      </c>
      <c r="B823" s="32" t="s">
        <v>23</v>
      </c>
      <c r="C823" s="32" t="s">
        <v>1625</v>
      </c>
      <c r="D823" s="32" t="s">
        <v>1223</v>
      </c>
      <c r="E823" s="33" t="n">
        <v>8430942354626</v>
      </c>
      <c r="F823" s="33" t="n">
        <v>1</v>
      </c>
      <c r="G823" s="34" t="n">
        <v>52.73</v>
      </c>
      <c r="H823" s="33" t="n">
        <v>69</v>
      </c>
      <c r="I823" s="34" t="n">
        <f aca="false">G823*((100-H823)/100)</f>
        <v>16.3463</v>
      </c>
      <c r="J823" s="35"/>
      <c r="K823" s="36" t="n">
        <f aca="false">+F823*J823</f>
        <v>0</v>
      </c>
      <c r="L823" s="37" t="n">
        <f aca="false">I823*K823</f>
        <v>0</v>
      </c>
    </row>
    <row r="824" customFormat="false" ht="15" hidden="false" customHeight="false" outlineLevel="0" collapsed="false">
      <c r="A824" s="32" t="s">
        <v>1230</v>
      </c>
      <c r="B824" s="32" t="s">
        <v>23</v>
      </c>
      <c r="C824" s="32" t="s">
        <v>1231</v>
      </c>
      <c r="D824" s="32" t="s">
        <v>1223</v>
      </c>
      <c r="E824" s="33" t="n">
        <v>8430942354633</v>
      </c>
      <c r="F824" s="33" t="n">
        <v>1</v>
      </c>
      <c r="G824" s="34" t="n">
        <v>52.73</v>
      </c>
      <c r="H824" s="33" t="n">
        <v>69</v>
      </c>
      <c r="I824" s="34" t="n">
        <f aca="false">G824*((100-H824)/100)</f>
        <v>16.3463</v>
      </c>
      <c r="J824" s="35"/>
      <c r="K824" s="36" t="n">
        <f aca="false">+F824*J824</f>
        <v>0</v>
      </c>
      <c r="L824" s="37" t="n">
        <f aca="false">I824*K824</f>
        <v>0</v>
      </c>
    </row>
    <row r="825" customFormat="false" ht="15" hidden="false" customHeight="false" outlineLevel="0" collapsed="false">
      <c r="A825" s="32" t="s">
        <v>1232</v>
      </c>
      <c r="B825" s="32" t="s">
        <v>23</v>
      </c>
      <c r="C825" s="32" t="s">
        <v>1233</v>
      </c>
      <c r="D825" s="32" t="s">
        <v>1223</v>
      </c>
      <c r="E825" s="33" t="n">
        <v>8430942354640</v>
      </c>
      <c r="F825" s="33" t="n">
        <v>1</v>
      </c>
      <c r="G825" s="34" t="n">
        <v>60.51</v>
      </c>
      <c r="H825" s="33" t="n">
        <v>69</v>
      </c>
      <c r="I825" s="34" t="n">
        <f aca="false">G825*((100-H825)/100)</f>
        <v>18.7581</v>
      </c>
      <c r="J825" s="35"/>
      <c r="K825" s="36" t="n">
        <f aca="false">+F825*J825</f>
        <v>0</v>
      </c>
      <c r="L825" s="37" t="n">
        <f aca="false">I825*K825</f>
        <v>0</v>
      </c>
    </row>
    <row r="826" customFormat="false" ht="15" hidden="false" customHeight="false" outlineLevel="0" collapsed="false">
      <c r="A826" s="32" t="s">
        <v>1626</v>
      </c>
      <c r="B826" s="32" t="s">
        <v>23</v>
      </c>
      <c r="C826" s="32" t="s">
        <v>1627</v>
      </c>
      <c r="D826" s="32" t="s">
        <v>1223</v>
      </c>
      <c r="E826" s="33" t="n">
        <v>8430942354657</v>
      </c>
      <c r="F826" s="33" t="n">
        <v>1</v>
      </c>
      <c r="G826" s="34" t="n">
        <v>78.43</v>
      </c>
      <c r="H826" s="33" t="n">
        <v>69</v>
      </c>
      <c r="I826" s="34" t="n">
        <f aca="false">G826*((100-H826)/100)</f>
        <v>24.3133</v>
      </c>
      <c r="J826" s="35"/>
      <c r="K826" s="36" t="n">
        <f aca="false">+F826*J826</f>
        <v>0</v>
      </c>
      <c r="L826" s="37" t="n">
        <f aca="false">I826*K826</f>
        <v>0</v>
      </c>
    </row>
    <row r="827" customFormat="false" ht="15" hidden="false" customHeight="false" outlineLevel="0" collapsed="false">
      <c r="A827" s="32" t="s">
        <v>1628</v>
      </c>
      <c r="B827" s="32" t="s">
        <v>23</v>
      </c>
      <c r="C827" s="32" t="s">
        <v>1629</v>
      </c>
      <c r="D827" s="32" t="s">
        <v>1630</v>
      </c>
      <c r="E827" s="33" t="n">
        <v>8430942329068</v>
      </c>
      <c r="F827" s="33" t="n">
        <v>1</v>
      </c>
      <c r="G827" s="34" t="n">
        <v>81.92</v>
      </c>
      <c r="H827" s="33" t="n">
        <v>69</v>
      </c>
      <c r="I827" s="34" t="n">
        <f aca="false">G827*((100-H827)/100)</f>
        <v>25.3952</v>
      </c>
      <c r="J827" s="35"/>
      <c r="K827" s="36" t="n">
        <f aca="false">+F827*J827</f>
        <v>0</v>
      </c>
      <c r="L827" s="37" t="n">
        <f aca="false">I827*K827</f>
        <v>0</v>
      </c>
    </row>
    <row r="828" customFormat="false" ht="15" hidden="false" customHeight="false" outlineLevel="0" collapsed="false">
      <c r="A828" s="32" t="s">
        <v>1631</v>
      </c>
      <c r="B828" s="32" t="s">
        <v>23</v>
      </c>
      <c r="C828" s="32" t="s">
        <v>1632</v>
      </c>
      <c r="D828" s="32" t="s">
        <v>1630</v>
      </c>
      <c r="E828" s="33" t="n">
        <v>8430942039455</v>
      </c>
      <c r="F828" s="33" t="n">
        <v>1</v>
      </c>
      <c r="G828" s="34" t="n">
        <v>87.31</v>
      </c>
      <c r="H828" s="33" t="n">
        <v>69</v>
      </c>
      <c r="I828" s="34" t="n">
        <f aca="false">G828*((100-H828)/100)</f>
        <v>27.0661</v>
      </c>
      <c r="J828" s="35"/>
      <c r="K828" s="36" t="n">
        <f aca="false">+F828*J828</f>
        <v>0</v>
      </c>
      <c r="L828" s="37" t="n">
        <f aca="false">I828*K828</f>
        <v>0</v>
      </c>
    </row>
    <row r="829" customFormat="false" ht="15" hidden="false" customHeight="false" outlineLevel="0" collapsed="false">
      <c r="A829" s="32" t="s">
        <v>1633</v>
      </c>
      <c r="B829" s="32" t="s">
        <v>23</v>
      </c>
      <c r="C829" s="32" t="s">
        <v>1634</v>
      </c>
      <c r="D829" s="32" t="s">
        <v>1630</v>
      </c>
      <c r="E829" s="33" t="n">
        <v>8430942049539</v>
      </c>
      <c r="F829" s="33" t="n">
        <v>1</v>
      </c>
      <c r="G829" s="34" t="n">
        <v>90.96</v>
      </c>
      <c r="H829" s="33" t="n">
        <v>69</v>
      </c>
      <c r="I829" s="34" t="n">
        <f aca="false">G829*((100-H829)/100)</f>
        <v>28.1976</v>
      </c>
      <c r="J829" s="35"/>
      <c r="K829" s="36" t="n">
        <f aca="false">+F829*J829</f>
        <v>0</v>
      </c>
      <c r="L829" s="37" t="n">
        <f aca="false">I829*K829</f>
        <v>0</v>
      </c>
    </row>
    <row r="830" customFormat="false" ht="15" hidden="false" customHeight="false" outlineLevel="0" collapsed="false">
      <c r="A830" s="32" t="s">
        <v>1635</v>
      </c>
      <c r="B830" s="32" t="s">
        <v>23</v>
      </c>
      <c r="C830" s="32" t="s">
        <v>1636</v>
      </c>
      <c r="D830" s="32" t="s">
        <v>1630</v>
      </c>
      <c r="E830" s="33" t="n">
        <v>8430942029043</v>
      </c>
      <c r="F830" s="33" t="n">
        <v>1</v>
      </c>
      <c r="G830" s="34" t="n">
        <v>106.15</v>
      </c>
      <c r="H830" s="33" t="n">
        <v>69</v>
      </c>
      <c r="I830" s="34" t="n">
        <f aca="false">G830*((100-H830)/100)</f>
        <v>32.9065</v>
      </c>
      <c r="J830" s="35"/>
      <c r="K830" s="36" t="n">
        <f aca="false">+F830*J830</f>
        <v>0</v>
      </c>
      <c r="L830" s="37" t="n">
        <f aca="false">I830*K830</f>
        <v>0</v>
      </c>
    </row>
    <row r="831" customFormat="false" ht="15" hidden="false" customHeight="false" outlineLevel="0" collapsed="false">
      <c r="A831" s="32" t="s">
        <v>1637</v>
      </c>
      <c r="B831" s="32" t="s">
        <v>23</v>
      </c>
      <c r="C831" s="32" t="s">
        <v>1638</v>
      </c>
      <c r="D831" s="32" t="s">
        <v>1630</v>
      </c>
      <c r="E831" s="33" t="n">
        <v>8430942031305</v>
      </c>
      <c r="F831" s="33" t="n">
        <v>1</v>
      </c>
      <c r="G831" s="34" t="n">
        <v>123.46</v>
      </c>
      <c r="H831" s="33" t="n">
        <v>69</v>
      </c>
      <c r="I831" s="34" t="n">
        <f aca="false">G831*((100-H831)/100)</f>
        <v>38.2726</v>
      </c>
      <c r="J831" s="35"/>
      <c r="K831" s="36" t="n">
        <f aca="false">+F831*J831</f>
        <v>0</v>
      </c>
      <c r="L831" s="37" t="n">
        <f aca="false">I831*K831</f>
        <v>0</v>
      </c>
    </row>
    <row r="832" customFormat="false" ht="15" hidden="false" customHeight="false" outlineLevel="0" collapsed="false">
      <c r="A832" s="32" t="s">
        <v>1639</v>
      </c>
      <c r="B832" s="32" t="s">
        <v>23</v>
      </c>
      <c r="C832" s="32" t="s">
        <v>1640</v>
      </c>
      <c r="D832" s="32" t="s">
        <v>1630</v>
      </c>
      <c r="E832" s="33" t="n">
        <v>8430942029029</v>
      </c>
      <c r="F832" s="33" t="n">
        <v>1</v>
      </c>
      <c r="G832" s="34" t="n">
        <v>132.5</v>
      </c>
      <c r="H832" s="33" t="n">
        <v>69</v>
      </c>
      <c r="I832" s="34" t="n">
        <f aca="false">G832*((100-H832)/100)</f>
        <v>41.075</v>
      </c>
      <c r="J832" s="35"/>
      <c r="K832" s="36" t="n">
        <f aca="false">+F832*J832</f>
        <v>0</v>
      </c>
      <c r="L832" s="37" t="n">
        <f aca="false">I832*K832</f>
        <v>0</v>
      </c>
    </row>
    <row r="833" customFormat="false" ht="15" hidden="false" customHeight="false" outlineLevel="0" collapsed="false">
      <c r="A833" s="32" t="s">
        <v>1641</v>
      </c>
      <c r="B833" s="32" t="s">
        <v>23</v>
      </c>
      <c r="C833" s="32" t="s">
        <v>1642</v>
      </c>
      <c r="D833" s="32" t="s">
        <v>1630</v>
      </c>
      <c r="E833" s="33" t="n">
        <v>8430942029012</v>
      </c>
      <c r="F833" s="33" t="n">
        <v>1</v>
      </c>
      <c r="G833" s="34" t="n">
        <v>154.62</v>
      </c>
      <c r="H833" s="33" t="n">
        <v>69</v>
      </c>
      <c r="I833" s="34" t="n">
        <f aca="false">G833*((100-H833)/100)</f>
        <v>47.9322</v>
      </c>
      <c r="J833" s="35"/>
      <c r="K833" s="36" t="n">
        <f aca="false">+F833*J833</f>
        <v>0</v>
      </c>
      <c r="L833" s="37" t="n">
        <f aca="false">I833*K833</f>
        <v>0</v>
      </c>
    </row>
    <row r="834" customFormat="false" ht="15" hidden="false" customHeight="false" outlineLevel="0" collapsed="false">
      <c r="A834" s="32" t="s">
        <v>1643</v>
      </c>
      <c r="B834" s="32" t="s">
        <v>23</v>
      </c>
      <c r="C834" s="32" t="s">
        <v>1644</v>
      </c>
      <c r="D834" s="32" t="s">
        <v>1630</v>
      </c>
      <c r="E834" s="33" t="n">
        <v>8430942029005</v>
      </c>
      <c r="F834" s="33" t="n">
        <v>1</v>
      </c>
      <c r="G834" s="34" t="n">
        <v>202.5</v>
      </c>
      <c r="H834" s="33" t="n">
        <v>69</v>
      </c>
      <c r="I834" s="34" t="n">
        <f aca="false">G834*((100-H834)/100)</f>
        <v>62.775</v>
      </c>
      <c r="J834" s="35"/>
      <c r="K834" s="36" t="n">
        <f aca="false">+F834*J834</f>
        <v>0</v>
      </c>
      <c r="L834" s="37" t="n">
        <f aca="false">I834*K834</f>
        <v>0</v>
      </c>
    </row>
    <row r="835" customFormat="false" ht="15" hidden="false" customHeight="false" outlineLevel="0" collapsed="false">
      <c r="A835" s="32" t="s">
        <v>1645</v>
      </c>
      <c r="B835" s="32" t="s">
        <v>23</v>
      </c>
      <c r="C835" s="32" t="s">
        <v>1646</v>
      </c>
      <c r="D835" s="32" t="s">
        <v>1647</v>
      </c>
      <c r="E835" s="33" t="n">
        <v>8430942028992</v>
      </c>
      <c r="F835" s="33" t="n">
        <v>1</v>
      </c>
      <c r="G835" s="34" t="n">
        <v>91.2</v>
      </c>
      <c r="H835" s="33" t="n">
        <v>69</v>
      </c>
      <c r="I835" s="34" t="n">
        <f aca="false">G835*((100-H835)/100)</f>
        <v>28.272</v>
      </c>
      <c r="J835" s="35"/>
      <c r="K835" s="36" t="n">
        <f aca="false">+F835*J835</f>
        <v>0</v>
      </c>
      <c r="L835" s="37" t="n">
        <f aca="false">I835*K835</f>
        <v>0</v>
      </c>
    </row>
    <row r="836" customFormat="false" ht="15" hidden="false" customHeight="false" outlineLevel="0" collapsed="false">
      <c r="A836" s="32" t="s">
        <v>1648</v>
      </c>
      <c r="B836" s="32" t="s">
        <v>23</v>
      </c>
      <c r="C836" s="32" t="s">
        <v>1649</v>
      </c>
      <c r="D836" s="32" t="s">
        <v>1647</v>
      </c>
      <c r="E836" s="33" t="n">
        <v>8430942329044</v>
      </c>
      <c r="F836" s="33" t="n">
        <v>1</v>
      </c>
      <c r="G836" s="34" t="n">
        <v>111</v>
      </c>
      <c r="H836" s="33" t="n">
        <v>69</v>
      </c>
      <c r="I836" s="34" t="n">
        <f aca="false">G836*((100-H836)/100)</f>
        <v>34.41</v>
      </c>
      <c r="J836" s="35"/>
      <c r="K836" s="36" t="n">
        <f aca="false">+F836*J836</f>
        <v>0</v>
      </c>
      <c r="L836" s="37" t="n">
        <f aca="false">I836*K836</f>
        <v>0</v>
      </c>
    </row>
    <row r="837" customFormat="false" ht="15" hidden="false" customHeight="false" outlineLevel="0" collapsed="false">
      <c r="A837" s="32" t="s">
        <v>1650</v>
      </c>
      <c r="B837" s="32" t="s">
        <v>23</v>
      </c>
      <c r="C837" s="32" t="s">
        <v>1651</v>
      </c>
      <c r="D837" s="32" t="s">
        <v>1647</v>
      </c>
      <c r="E837" s="33" t="n">
        <v>8430942049522</v>
      </c>
      <c r="F837" s="33" t="n">
        <v>1</v>
      </c>
      <c r="G837" s="34" t="n">
        <v>126.9</v>
      </c>
      <c r="H837" s="33" t="n">
        <v>69</v>
      </c>
      <c r="I837" s="34" t="n">
        <f aca="false">G837*((100-H837)/100)</f>
        <v>39.339</v>
      </c>
      <c r="J837" s="35"/>
      <c r="K837" s="36" t="n">
        <f aca="false">+F837*J837</f>
        <v>0</v>
      </c>
      <c r="L837" s="37" t="n">
        <f aca="false">I837*K837</f>
        <v>0</v>
      </c>
    </row>
    <row r="838" customFormat="false" ht="15" hidden="false" customHeight="false" outlineLevel="0" collapsed="false">
      <c r="A838" s="32" t="s">
        <v>1652</v>
      </c>
      <c r="B838" s="32" t="s">
        <v>23</v>
      </c>
      <c r="C838" s="32" t="s">
        <v>1653</v>
      </c>
      <c r="D838" s="32" t="s">
        <v>1647</v>
      </c>
      <c r="E838" s="33" t="n">
        <v>8430942329051</v>
      </c>
      <c r="F838" s="33" t="n">
        <v>1</v>
      </c>
      <c r="G838" s="34" t="n">
        <v>129.25</v>
      </c>
      <c r="H838" s="33" t="n">
        <v>69</v>
      </c>
      <c r="I838" s="34" t="n">
        <f aca="false">G838*((100-H838)/100)</f>
        <v>40.0675</v>
      </c>
      <c r="J838" s="35"/>
      <c r="K838" s="36" t="n">
        <f aca="false">+F838*J838</f>
        <v>0</v>
      </c>
      <c r="L838" s="37" t="n">
        <f aca="false">I838*K838</f>
        <v>0</v>
      </c>
    </row>
    <row r="839" customFormat="false" ht="15" hidden="false" customHeight="false" outlineLevel="0" collapsed="false">
      <c r="A839" s="32" t="s">
        <v>1654</v>
      </c>
      <c r="B839" s="32" t="s">
        <v>23</v>
      </c>
      <c r="C839" s="32" t="s">
        <v>1655</v>
      </c>
      <c r="D839" s="32" t="s">
        <v>1647</v>
      </c>
      <c r="E839" s="33" t="n">
        <v>8430942031169</v>
      </c>
      <c r="F839" s="33" t="n">
        <v>1</v>
      </c>
      <c r="G839" s="34" t="n">
        <v>143.2</v>
      </c>
      <c r="H839" s="33" t="n">
        <v>69</v>
      </c>
      <c r="I839" s="34" t="n">
        <f aca="false">G839*((100-H839)/100)</f>
        <v>44.392</v>
      </c>
      <c r="J839" s="35"/>
      <c r="K839" s="36" t="n">
        <f aca="false">+F839*J839</f>
        <v>0</v>
      </c>
      <c r="L839" s="37" t="n">
        <f aca="false">I839*K839</f>
        <v>0</v>
      </c>
    </row>
    <row r="840" customFormat="false" ht="15" hidden="false" customHeight="false" outlineLevel="0" collapsed="false">
      <c r="A840" s="32" t="s">
        <v>1656</v>
      </c>
      <c r="B840" s="32" t="s">
        <v>23</v>
      </c>
      <c r="C840" s="32" t="s">
        <v>1657</v>
      </c>
      <c r="D840" s="32" t="s">
        <v>1647</v>
      </c>
      <c r="E840" s="33" t="n">
        <v>8430942028831</v>
      </c>
      <c r="F840" s="33" t="n">
        <v>1</v>
      </c>
      <c r="G840" s="34" t="n">
        <v>160.8</v>
      </c>
      <c r="H840" s="33" t="n">
        <v>69</v>
      </c>
      <c r="I840" s="34" t="n">
        <f aca="false">G840*((100-H840)/100)</f>
        <v>49.848</v>
      </c>
      <c r="J840" s="35"/>
      <c r="K840" s="36" t="n">
        <f aca="false">+F840*J840</f>
        <v>0</v>
      </c>
      <c r="L840" s="37" t="n">
        <f aca="false">I840*K840</f>
        <v>0</v>
      </c>
    </row>
    <row r="841" customFormat="false" ht="15" hidden="false" customHeight="false" outlineLevel="0" collapsed="false">
      <c r="A841" s="32" t="s">
        <v>1658</v>
      </c>
      <c r="B841" s="32" t="s">
        <v>23</v>
      </c>
      <c r="C841" s="32" t="s">
        <v>1659</v>
      </c>
      <c r="D841" s="32" t="s">
        <v>1647</v>
      </c>
      <c r="E841" s="33" t="n">
        <v>8430942028824</v>
      </c>
      <c r="F841" s="33" t="n">
        <v>1</v>
      </c>
      <c r="G841" s="34" t="n">
        <v>208.65</v>
      </c>
      <c r="H841" s="33" t="n">
        <v>69</v>
      </c>
      <c r="I841" s="34" t="n">
        <f aca="false">G841*((100-H841)/100)</f>
        <v>64.6815</v>
      </c>
      <c r="J841" s="35"/>
      <c r="K841" s="36" t="n">
        <f aca="false">+F841*J841</f>
        <v>0</v>
      </c>
      <c r="L841" s="37" t="n">
        <f aca="false">I841*K841</f>
        <v>0</v>
      </c>
    </row>
    <row r="842" customFormat="false" ht="15" hidden="false" customHeight="false" outlineLevel="0" collapsed="false">
      <c r="A842" s="32" t="s">
        <v>1660</v>
      </c>
      <c r="B842" s="32" t="s">
        <v>23</v>
      </c>
      <c r="C842" s="32" t="s">
        <v>1661</v>
      </c>
      <c r="D842" s="32" t="s">
        <v>1647</v>
      </c>
      <c r="E842" s="33" t="n">
        <v>8430942002367</v>
      </c>
      <c r="F842" s="33" t="n">
        <v>1</v>
      </c>
      <c r="G842" s="34" t="n">
        <v>244.25</v>
      </c>
      <c r="H842" s="33" t="n">
        <v>69</v>
      </c>
      <c r="I842" s="34" t="n">
        <f aca="false">G842*((100-H842)/100)</f>
        <v>75.7175</v>
      </c>
      <c r="J842" s="35"/>
      <c r="K842" s="36" t="n">
        <f aca="false">+F842*J842</f>
        <v>0</v>
      </c>
      <c r="L842" s="37" t="n">
        <f aca="false">I842*K842</f>
        <v>0</v>
      </c>
    </row>
    <row r="843" customFormat="false" ht="15" hidden="false" customHeight="false" outlineLevel="0" collapsed="false">
      <c r="A843" s="32" t="s">
        <v>1662</v>
      </c>
      <c r="B843" s="32" t="s">
        <v>23</v>
      </c>
      <c r="C843" s="32" t="s">
        <v>1663</v>
      </c>
      <c r="D843" s="32" t="s">
        <v>1664</v>
      </c>
      <c r="E843" s="33" t="n">
        <v>8430942353469</v>
      </c>
      <c r="F843" s="33" t="n">
        <v>1</v>
      </c>
      <c r="G843" s="34" t="n">
        <v>234.38</v>
      </c>
      <c r="H843" s="33" t="n">
        <v>69</v>
      </c>
      <c r="I843" s="34" t="n">
        <f aca="false">G843*((100-H843)/100)</f>
        <v>72.6578</v>
      </c>
      <c r="J843" s="35"/>
      <c r="K843" s="36" t="n">
        <f aca="false">+F843*J843</f>
        <v>0</v>
      </c>
      <c r="L843" s="37" t="n">
        <f aca="false">I843*K843</f>
        <v>0</v>
      </c>
    </row>
    <row r="844" customFormat="false" ht="15" hidden="false" customHeight="false" outlineLevel="0" collapsed="false">
      <c r="A844" s="32" t="s">
        <v>1665</v>
      </c>
      <c r="B844" s="32" t="s">
        <v>23</v>
      </c>
      <c r="C844" s="32" t="s">
        <v>1666</v>
      </c>
      <c r="D844" s="32" t="s">
        <v>1664</v>
      </c>
      <c r="E844" s="33" t="n">
        <v>8430942353476</v>
      </c>
      <c r="F844" s="33" t="n">
        <v>1</v>
      </c>
      <c r="G844" s="34" t="n">
        <v>242.5</v>
      </c>
      <c r="H844" s="33" t="n">
        <v>69</v>
      </c>
      <c r="I844" s="34" t="n">
        <f aca="false">G844*((100-H844)/100)</f>
        <v>75.175</v>
      </c>
      <c r="J844" s="35"/>
      <c r="K844" s="36" t="n">
        <f aca="false">+F844*J844</f>
        <v>0</v>
      </c>
      <c r="L844" s="37" t="n">
        <f aca="false">I844*K844</f>
        <v>0</v>
      </c>
    </row>
    <row r="845" customFormat="false" ht="15" hidden="false" customHeight="false" outlineLevel="0" collapsed="false">
      <c r="A845" s="32" t="s">
        <v>1667</v>
      </c>
      <c r="B845" s="32" t="s">
        <v>23</v>
      </c>
      <c r="C845" s="32" t="s">
        <v>1668</v>
      </c>
      <c r="D845" s="32" t="s">
        <v>1664</v>
      </c>
      <c r="E845" s="33" t="n">
        <v>8430942353483</v>
      </c>
      <c r="F845" s="33" t="n">
        <v>1</v>
      </c>
      <c r="G845" s="34" t="n">
        <v>260.97</v>
      </c>
      <c r="H845" s="33" t="n">
        <v>69</v>
      </c>
      <c r="I845" s="34" t="n">
        <f aca="false">G845*((100-H845)/100)</f>
        <v>80.9007</v>
      </c>
      <c r="J845" s="35"/>
      <c r="K845" s="36" t="n">
        <f aca="false">+F845*J845</f>
        <v>0</v>
      </c>
      <c r="L845" s="37" t="n">
        <f aca="false">I845*K845</f>
        <v>0</v>
      </c>
    </row>
    <row r="846" customFormat="false" ht="15" hidden="false" customHeight="false" outlineLevel="0" collapsed="false">
      <c r="A846" s="32" t="s">
        <v>1669</v>
      </c>
      <c r="B846" s="32" t="s">
        <v>23</v>
      </c>
      <c r="C846" s="32" t="s">
        <v>1670</v>
      </c>
      <c r="D846" s="32" t="s">
        <v>1664</v>
      </c>
      <c r="E846" s="33" t="n">
        <v>8430942353490</v>
      </c>
      <c r="F846" s="33" t="n">
        <v>1</v>
      </c>
      <c r="G846" s="34" t="n">
        <v>280.48</v>
      </c>
      <c r="H846" s="33" t="n">
        <v>69</v>
      </c>
      <c r="I846" s="34" t="n">
        <f aca="false">G846*((100-H846)/100)</f>
        <v>86.9488</v>
      </c>
      <c r="J846" s="35"/>
      <c r="K846" s="36" t="n">
        <f aca="false">+F846*J846</f>
        <v>0</v>
      </c>
      <c r="L846" s="37" t="n">
        <f aca="false">I846*K846</f>
        <v>0</v>
      </c>
    </row>
    <row r="847" customFormat="false" ht="15" hidden="false" customHeight="false" outlineLevel="0" collapsed="false">
      <c r="A847" s="32" t="s">
        <v>1671</v>
      </c>
      <c r="B847" s="32" t="s">
        <v>23</v>
      </c>
      <c r="C847" s="32" t="s">
        <v>1672</v>
      </c>
      <c r="D847" s="32" t="s">
        <v>1664</v>
      </c>
      <c r="E847" s="33" t="n">
        <v>8430942353506</v>
      </c>
      <c r="F847" s="33" t="n">
        <v>1</v>
      </c>
      <c r="G847" s="34" t="n">
        <v>298.18</v>
      </c>
      <c r="H847" s="33" t="n">
        <v>69</v>
      </c>
      <c r="I847" s="34" t="n">
        <f aca="false">G847*((100-H847)/100)</f>
        <v>92.4358</v>
      </c>
      <c r="J847" s="35"/>
      <c r="K847" s="36" t="n">
        <f aca="false">+F847*J847</f>
        <v>0</v>
      </c>
      <c r="L847" s="37" t="n">
        <f aca="false">I847*K847</f>
        <v>0</v>
      </c>
    </row>
    <row r="848" customFormat="false" ht="15" hidden="false" customHeight="false" outlineLevel="0" collapsed="false">
      <c r="A848" s="32" t="s">
        <v>1673</v>
      </c>
      <c r="B848" s="32" t="s">
        <v>23</v>
      </c>
      <c r="C848" s="32" t="s">
        <v>1674</v>
      </c>
      <c r="D848" s="32" t="s">
        <v>1664</v>
      </c>
      <c r="E848" s="33" t="n">
        <v>8430942353513</v>
      </c>
      <c r="F848" s="33" t="n">
        <v>1</v>
      </c>
      <c r="G848" s="34" t="n">
        <v>317.96</v>
      </c>
      <c r="H848" s="33" t="n">
        <v>69</v>
      </c>
      <c r="I848" s="34" t="n">
        <f aca="false">G848*((100-H848)/100)</f>
        <v>98.5676</v>
      </c>
      <c r="J848" s="35"/>
      <c r="K848" s="36" t="n">
        <f aca="false">+F848*J848</f>
        <v>0</v>
      </c>
      <c r="L848" s="37" t="n">
        <f aca="false">I848*K848</f>
        <v>0</v>
      </c>
    </row>
    <row r="849" customFormat="false" ht="15" hidden="false" customHeight="false" outlineLevel="0" collapsed="false">
      <c r="A849" s="32" t="s">
        <v>1675</v>
      </c>
      <c r="B849" s="32" t="s">
        <v>23</v>
      </c>
      <c r="C849" s="32" t="s">
        <v>1676</v>
      </c>
      <c r="D849" s="32" t="s">
        <v>1664</v>
      </c>
      <c r="E849" s="33" t="n">
        <v>8430942353520</v>
      </c>
      <c r="F849" s="33" t="n">
        <v>1</v>
      </c>
      <c r="G849" s="34" t="n">
        <v>354.29</v>
      </c>
      <c r="H849" s="33" t="n">
        <v>69</v>
      </c>
      <c r="I849" s="34" t="n">
        <f aca="false">G849*((100-H849)/100)</f>
        <v>109.8299</v>
      </c>
      <c r="J849" s="35"/>
      <c r="K849" s="36" t="n">
        <f aca="false">+F849*J849</f>
        <v>0</v>
      </c>
      <c r="L849" s="37" t="n">
        <f aca="false">I849*K849</f>
        <v>0</v>
      </c>
    </row>
    <row r="850" customFormat="false" ht="15" hidden="false" customHeight="false" outlineLevel="0" collapsed="false">
      <c r="A850" s="32" t="s">
        <v>1677</v>
      </c>
      <c r="B850" s="32" t="s">
        <v>23</v>
      </c>
      <c r="C850" s="32" t="s">
        <v>1678</v>
      </c>
      <c r="D850" s="32" t="s">
        <v>1664</v>
      </c>
      <c r="E850" s="33" t="n">
        <v>8430942353537</v>
      </c>
      <c r="F850" s="33" t="n">
        <v>1</v>
      </c>
      <c r="G850" s="34" t="n">
        <v>392.16</v>
      </c>
      <c r="H850" s="33" t="n">
        <v>69</v>
      </c>
      <c r="I850" s="34" t="n">
        <f aca="false">G850*((100-H850)/100)</f>
        <v>121.5696</v>
      </c>
      <c r="J850" s="35"/>
      <c r="K850" s="36" t="n">
        <f aca="false">+F850*J850</f>
        <v>0</v>
      </c>
      <c r="L850" s="37" t="n">
        <f aca="false">I850*K850</f>
        <v>0</v>
      </c>
    </row>
    <row r="851" customFormat="false" ht="15" hidden="false" customHeight="false" outlineLevel="0" collapsed="false">
      <c r="A851" s="32" t="s">
        <v>1276</v>
      </c>
      <c r="B851" s="32" t="s">
        <v>23</v>
      </c>
      <c r="C851" s="32" t="s">
        <v>1277</v>
      </c>
      <c r="D851" s="32" t="s">
        <v>883</v>
      </c>
      <c r="E851" s="33" t="n">
        <v>8430942353919</v>
      </c>
      <c r="F851" s="33" t="n">
        <v>1</v>
      </c>
      <c r="G851" s="34" t="n">
        <v>170.19</v>
      </c>
      <c r="H851" s="33" t="n">
        <v>69</v>
      </c>
      <c r="I851" s="34" t="n">
        <f aca="false">G851*((100-H851)/100)</f>
        <v>52.7589</v>
      </c>
      <c r="J851" s="35"/>
      <c r="K851" s="36" t="n">
        <f aca="false">+F851*J851</f>
        <v>0</v>
      </c>
      <c r="L851" s="37" t="n">
        <f aca="false">I851*K851</f>
        <v>0</v>
      </c>
    </row>
    <row r="852" customFormat="false" ht="15" hidden="false" customHeight="false" outlineLevel="0" collapsed="false">
      <c r="A852" s="32" t="s">
        <v>1278</v>
      </c>
      <c r="B852" s="32" t="s">
        <v>23</v>
      </c>
      <c r="C852" s="32" t="s">
        <v>1279</v>
      </c>
      <c r="D852" s="32" t="s">
        <v>883</v>
      </c>
      <c r="E852" s="33" t="n">
        <v>8430942353926</v>
      </c>
      <c r="F852" s="33" t="n">
        <v>1</v>
      </c>
      <c r="G852" s="34" t="n">
        <v>168.15</v>
      </c>
      <c r="H852" s="33" t="n">
        <v>69</v>
      </c>
      <c r="I852" s="34" t="n">
        <f aca="false">G852*((100-H852)/100)</f>
        <v>52.1265</v>
      </c>
      <c r="J852" s="35"/>
      <c r="K852" s="36" t="n">
        <f aca="false">+F852*J852</f>
        <v>0</v>
      </c>
      <c r="L852" s="37" t="n">
        <f aca="false">I852*K852</f>
        <v>0</v>
      </c>
    </row>
    <row r="853" customFormat="false" ht="15" hidden="false" customHeight="false" outlineLevel="0" collapsed="false">
      <c r="A853" s="32" t="s">
        <v>1280</v>
      </c>
      <c r="B853" s="32" t="s">
        <v>23</v>
      </c>
      <c r="C853" s="32" t="s">
        <v>1281</v>
      </c>
      <c r="D853" s="32" t="s">
        <v>883</v>
      </c>
      <c r="E853" s="33" t="n">
        <v>8430942353933</v>
      </c>
      <c r="F853" s="33" t="n">
        <v>1</v>
      </c>
      <c r="G853" s="34" t="n">
        <v>230.37</v>
      </c>
      <c r="H853" s="33" t="n">
        <v>69</v>
      </c>
      <c r="I853" s="34" t="n">
        <f aca="false">G853*((100-H853)/100)</f>
        <v>71.4147</v>
      </c>
      <c r="J853" s="35"/>
      <c r="K853" s="36" t="n">
        <f aca="false">+F853*J853</f>
        <v>0</v>
      </c>
      <c r="L853" s="37" t="n">
        <f aca="false">I853*K853</f>
        <v>0</v>
      </c>
    </row>
    <row r="854" customFormat="false" ht="15" hidden="false" customHeight="false" outlineLevel="0" collapsed="false">
      <c r="A854" s="32" t="s">
        <v>1282</v>
      </c>
      <c r="B854" s="32" t="s">
        <v>23</v>
      </c>
      <c r="C854" s="32" t="s">
        <v>1283</v>
      </c>
      <c r="D854" s="32" t="s">
        <v>883</v>
      </c>
      <c r="E854" s="33" t="n">
        <v>8430942353940</v>
      </c>
      <c r="F854" s="33" t="n">
        <v>1</v>
      </c>
      <c r="G854" s="34" t="n">
        <v>230.37</v>
      </c>
      <c r="H854" s="33" t="n">
        <v>69</v>
      </c>
      <c r="I854" s="34" t="n">
        <f aca="false">G854*((100-H854)/100)</f>
        <v>71.4147</v>
      </c>
      <c r="J854" s="35"/>
      <c r="K854" s="36" t="n">
        <f aca="false">+F854*J854</f>
        <v>0</v>
      </c>
      <c r="L854" s="37" t="n">
        <f aca="false">I854*K854</f>
        <v>0</v>
      </c>
    </row>
    <row r="855" customFormat="false" ht="15" hidden="false" customHeight="false" outlineLevel="0" collapsed="false">
      <c r="A855" s="32" t="s">
        <v>1679</v>
      </c>
      <c r="B855" s="32" t="s">
        <v>23</v>
      </c>
      <c r="C855" s="32" t="s">
        <v>1680</v>
      </c>
      <c r="D855" s="32" t="s">
        <v>883</v>
      </c>
      <c r="E855" s="33" t="n">
        <v>8430942353957</v>
      </c>
      <c r="F855" s="33" t="n">
        <v>1</v>
      </c>
      <c r="G855" s="34" t="n">
        <v>250.53</v>
      </c>
      <c r="H855" s="33" t="n">
        <v>69</v>
      </c>
      <c r="I855" s="34" t="n">
        <f aca="false">G855*((100-H855)/100)</f>
        <v>77.6643</v>
      </c>
      <c r="J855" s="35"/>
      <c r="K855" s="36" t="n">
        <f aca="false">+F855*J855</f>
        <v>0</v>
      </c>
      <c r="L855" s="37" t="n">
        <f aca="false">I855*K855</f>
        <v>0</v>
      </c>
    </row>
    <row r="856" customFormat="false" ht="15" hidden="false" customHeight="false" outlineLevel="0" collapsed="false">
      <c r="A856" s="32" t="s">
        <v>1284</v>
      </c>
      <c r="B856" s="32" t="s">
        <v>23</v>
      </c>
      <c r="C856" s="32" t="s">
        <v>1285</v>
      </c>
      <c r="D856" s="32" t="s">
        <v>883</v>
      </c>
      <c r="E856" s="33" t="n">
        <v>8430942353964</v>
      </c>
      <c r="F856" s="33" t="n">
        <v>1</v>
      </c>
      <c r="G856" s="34" t="n">
        <v>250.53</v>
      </c>
      <c r="H856" s="33" t="n">
        <v>69</v>
      </c>
      <c r="I856" s="34" t="n">
        <f aca="false">G856*((100-H856)/100)</f>
        <v>77.6643</v>
      </c>
      <c r="J856" s="35"/>
      <c r="K856" s="36" t="n">
        <f aca="false">+F856*J856</f>
        <v>0</v>
      </c>
      <c r="L856" s="37" t="n">
        <f aca="false">I856*K856</f>
        <v>0</v>
      </c>
    </row>
    <row r="857" customFormat="false" ht="15" hidden="false" customHeight="false" outlineLevel="0" collapsed="false">
      <c r="A857" s="32" t="s">
        <v>1286</v>
      </c>
      <c r="B857" s="32" t="s">
        <v>23</v>
      </c>
      <c r="C857" s="32" t="s">
        <v>1287</v>
      </c>
      <c r="D857" s="32" t="s">
        <v>883</v>
      </c>
      <c r="E857" s="33" t="n">
        <v>8430942353971</v>
      </c>
      <c r="F857" s="33" t="n">
        <v>1</v>
      </c>
      <c r="G857" s="34" t="n">
        <v>261.42</v>
      </c>
      <c r="H857" s="33" t="n">
        <v>69</v>
      </c>
      <c r="I857" s="34" t="n">
        <f aca="false">G857*((100-H857)/100)</f>
        <v>81.0402</v>
      </c>
      <c r="J857" s="35"/>
      <c r="K857" s="36" t="n">
        <f aca="false">+F857*J857</f>
        <v>0</v>
      </c>
      <c r="L857" s="37" t="n">
        <f aca="false">I857*K857</f>
        <v>0</v>
      </c>
    </row>
    <row r="858" customFormat="false" ht="15" hidden="false" customHeight="false" outlineLevel="0" collapsed="false">
      <c r="A858" s="32" t="s">
        <v>1681</v>
      </c>
      <c r="B858" s="32" t="s">
        <v>23</v>
      </c>
      <c r="C858" s="32" t="s">
        <v>1682</v>
      </c>
      <c r="D858" s="32" t="s">
        <v>883</v>
      </c>
      <c r="E858" s="33" t="n">
        <v>8430942353988</v>
      </c>
      <c r="F858" s="33" t="n">
        <v>1</v>
      </c>
      <c r="G858" s="34" t="n">
        <v>327.55</v>
      </c>
      <c r="H858" s="33" t="n">
        <v>69</v>
      </c>
      <c r="I858" s="34" t="n">
        <f aca="false">G858*((100-H858)/100)</f>
        <v>101.5405</v>
      </c>
      <c r="J858" s="35"/>
      <c r="K858" s="36" t="n">
        <f aca="false">+F858*J858</f>
        <v>0</v>
      </c>
      <c r="L858" s="37" t="n">
        <f aca="false">I858*K858</f>
        <v>0</v>
      </c>
    </row>
    <row r="859" customFormat="false" ht="15" hidden="false" customHeight="false" outlineLevel="0" collapsed="false">
      <c r="A859" s="32" t="s">
        <v>1288</v>
      </c>
      <c r="B859" s="32" t="s">
        <v>23</v>
      </c>
      <c r="C859" s="32" t="s">
        <v>1289</v>
      </c>
      <c r="D859" s="32" t="s">
        <v>883</v>
      </c>
      <c r="E859" s="33" t="n">
        <v>8430942354015</v>
      </c>
      <c r="F859" s="33" t="n">
        <v>1</v>
      </c>
      <c r="G859" s="34" t="n">
        <v>170.19</v>
      </c>
      <c r="H859" s="33" t="n">
        <v>69</v>
      </c>
      <c r="I859" s="34" t="n">
        <f aca="false">G859*((100-H859)/100)</f>
        <v>52.7589</v>
      </c>
      <c r="J859" s="35"/>
      <c r="K859" s="36" t="n">
        <f aca="false">+F859*J859</f>
        <v>0</v>
      </c>
      <c r="L859" s="37" t="n">
        <f aca="false">I859*K859</f>
        <v>0</v>
      </c>
    </row>
    <row r="860" customFormat="false" ht="15" hidden="false" customHeight="false" outlineLevel="0" collapsed="false">
      <c r="A860" s="32" t="s">
        <v>1290</v>
      </c>
      <c r="B860" s="32" t="s">
        <v>23</v>
      </c>
      <c r="C860" s="32" t="s">
        <v>1291</v>
      </c>
      <c r="D860" s="32" t="s">
        <v>883</v>
      </c>
      <c r="E860" s="33" t="n">
        <v>8430942354022</v>
      </c>
      <c r="F860" s="33" t="n">
        <v>1</v>
      </c>
      <c r="G860" s="34" t="n">
        <v>168.15</v>
      </c>
      <c r="H860" s="33" t="n">
        <v>69</v>
      </c>
      <c r="I860" s="34" t="n">
        <f aca="false">G860*((100-H860)/100)</f>
        <v>52.1265</v>
      </c>
      <c r="J860" s="35"/>
      <c r="K860" s="36" t="n">
        <f aca="false">+F860*J860</f>
        <v>0</v>
      </c>
      <c r="L860" s="37" t="n">
        <f aca="false">I860*K860</f>
        <v>0</v>
      </c>
    </row>
    <row r="861" customFormat="false" ht="15" hidden="false" customHeight="false" outlineLevel="0" collapsed="false">
      <c r="A861" s="32" t="s">
        <v>1292</v>
      </c>
      <c r="B861" s="32" t="s">
        <v>23</v>
      </c>
      <c r="C861" s="32" t="s">
        <v>1293</v>
      </c>
      <c r="D861" s="32" t="s">
        <v>883</v>
      </c>
      <c r="E861" s="33" t="n">
        <v>8430942354039</v>
      </c>
      <c r="F861" s="33" t="n">
        <v>1</v>
      </c>
      <c r="G861" s="34" t="n">
        <v>230.37</v>
      </c>
      <c r="H861" s="33" t="n">
        <v>69</v>
      </c>
      <c r="I861" s="34" t="n">
        <f aca="false">G861*((100-H861)/100)</f>
        <v>71.4147</v>
      </c>
      <c r="J861" s="35"/>
      <c r="K861" s="36" t="n">
        <f aca="false">+F861*J861</f>
        <v>0</v>
      </c>
      <c r="L861" s="37" t="n">
        <f aca="false">I861*K861</f>
        <v>0</v>
      </c>
    </row>
    <row r="862" customFormat="false" ht="15" hidden="false" customHeight="false" outlineLevel="0" collapsed="false">
      <c r="A862" s="32" t="s">
        <v>1294</v>
      </c>
      <c r="B862" s="32" t="s">
        <v>23</v>
      </c>
      <c r="C862" s="32" t="s">
        <v>1295</v>
      </c>
      <c r="D862" s="32" t="s">
        <v>883</v>
      </c>
      <c r="E862" s="33" t="n">
        <v>8430942354046</v>
      </c>
      <c r="F862" s="33" t="n">
        <v>1</v>
      </c>
      <c r="G862" s="34" t="n">
        <v>230.37</v>
      </c>
      <c r="H862" s="33" t="n">
        <v>69</v>
      </c>
      <c r="I862" s="34" t="n">
        <f aca="false">G862*((100-H862)/100)</f>
        <v>71.4147</v>
      </c>
      <c r="J862" s="35"/>
      <c r="K862" s="36" t="n">
        <f aca="false">+F862*J862</f>
        <v>0</v>
      </c>
      <c r="L862" s="37" t="n">
        <f aca="false">I862*K862</f>
        <v>0</v>
      </c>
    </row>
    <row r="863" customFormat="false" ht="15" hidden="false" customHeight="false" outlineLevel="0" collapsed="false">
      <c r="A863" s="32" t="s">
        <v>1683</v>
      </c>
      <c r="B863" s="32" t="s">
        <v>23</v>
      </c>
      <c r="C863" s="32" t="s">
        <v>1684</v>
      </c>
      <c r="D863" s="32" t="s">
        <v>883</v>
      </c>
      <c r="E863" s="33" t="n">
        <v>8430942354053</v>
      </c>
      <c r="F863" s="33" t="n">
        <v>1</v>
      </c>
      <c r="G863" s="34" t="n">
        <v>250.53</v>
      </c>
      <c r="H863" s="33" t="n">
        <v>69</v>
      </c>
      <c r="I863" s="34" t="n">
        <f aca="false">G863*((100-H863)/100)</f>
        <v>77.6643</v>
      </c>
      <c r="J863" s="35"/>
      <c r="K863" s="36" t="n">
        <f aca="false">+F863*J863</f>
        <v>0</v>
      </c>
      <c r="L863" s="37" t="n">
        <f aca="false">I863*K863</f>
        <v>0</v>
      </c>
    </row>
    <row r="864" customFormat="false" ht="15" hidden="false" customHeight="false" outlineLevel="0" collapsed="false">
      <c r="A864" s="32" t="s">
        <v>1296</v>
      </c>
      <c r="B864" s="32" t="s">
        <v>23</v>
      </c>
      <c r="C864" s="32" t="s">
        <v>1297</v>
      </c>
      <c r="D864" s="32" t="s">
        <v>883</v>
      </c>
      <c r="E864" s="33" t="n">
        <v>8430942354060</v>
      </c>
      <c r="F864" s="33" t="n">
        <v>1</v>
      </c>
      <c r="G864" s="34" t="n">
        <v>250.53</v>
      </c>
      <c r="H864" s="33" t="n">
        <v>69</v>
      </c>
      <c r="I864" s="34" t="n">
        <f aca="false">G864*((100-H864)/100)</f>
        <v>77.6643</v>
      </c>
      <c r="J864" s="35"/>
      <c r="K864" s="36" t="n">
        <f aca="false">+F864*J864</f>
        <v>0</v>
      </c>
      <c r="L864" s="37" t="n">
        <f aca="false">I864*K864</f>
        <v>0</v>
      </c>
    </row>
    <row r="865" customFormat="false" ht="15" hidden="false" customHeight="false" outlineLevel="0" collapsed="false">
      <c r="A865" s="32" t="s">
        <v>1298</v>
      </c>
      <c r="B865" s="32" t="s">
        <v>23</v>
      </c>
      <c r="C865" s="32" t="s">
        <v>1299</v>
      </c>
      <c r="D865" s="32" t="s">
        <v>883</v>
      </c>
      <c r="E865" s="33" t="n">
        <v>8430942354077</v>
      </c>
      <c r="F865" s="33" t="n">
        <v>1</v>
      </c>
      <c r="G865" s="34" t="n">
        <v>261.42</v>
      </c>
      <c r="H865" s="33" t="n">
        <v>69</v>
      </c>
      <c r="I865" s="34" t="n">
        <f aca="false">G865*((100-H865)/100)</f>
        <v>81.0402</v>
      </c>
      <c r="J865" s="35"/>
      <c r="K865" s="36" t="n">
        <f aca="false">+F865*J865</f>
        <v>0</v>
      </c>
      <c r="L865" s="37" t="n">
        <f aca="false">I865*K865</f>
        <v>0</v>
      </c>
    </row>
    <row r="866" customFormat="false" ht="15" hidden="false" customHeight="false" outlineLevel="0" collapsed="false">
      <c r="A866" s="32" t="s">
        <v>1685</v>
      </c>
      <c r="B866" s="32" t="s">
        <v>23</v>
      </c>
      <c r="C866" s="32" t="s">
        <v>1686</v>
      </c>
      <c r="D866" s="32" t="s">
        <v>883</v>
      </c>
      <c r="E866" s="33" t="n">
        <v>8430942354084</v>
      </c>
      <c r="F866" s="33" t="n">
        <v>1</v>
      </c>
      <c r="G866" s="34" t="n">
        <v>327.55</v>
      </c>
      <c r="H866" s="33" t="n">
        <v>69</v>
      </c>
      <c r="I866" s="34" t="n">
        <f aca="false">G866*((100-H866)/100)</f>
        <v>101.5405</v>
      </c>
      <c r="J866" s="35"/>
      <c r="K866" s="36" t="n">
        <f aca="false">+F866*J866</f>
        <v>0</v>
      </c>
      <c r="L866" s="37" t="n">
        <f aca="false">I866*K866</f>
        <v>0</v>
      </c>
    </row>
    <row r="867" customFormat="false" ht="15" hidden="false" customHeight="false" outlineLevel="0" collapsed="false">
      <c r="A867" s="32" t="s">
        <v>1687</v>
      </c>
      <c r="B867" s="32" t="s">
        <v>23</v>
      </c>
      <c r="C867" s="32" t="s">
        <v>1688</v>
      </c>
      <c r="D867" s="32" t="s">
        <v>25</v>
      </c>
      <c r="E867" s="33" t="n">
        <v>8430942024703</v>
      </c>
      <c r="F867" s="33" t="n">
        <v>1</v>
      </c>
      <c r="G867" s="34" t="n">
        <v>131.92</v>
      </c>
      <c r="H867" s="33" t="n">
        <v>69</v>
      </c>
      <c r="I867" s="34" t="n">
        <f aca="false">G867*((100-H867)/100)</f>
        <v>40.8952</v>
      </c>
      <c r="J867" s="35"/>
      <c r="K867" s="36" t="n">
        <f aca="false">+F867*J867</f>
        <v>0</v>
      </c>
      <c r="L867" s="37" t="n">
        <f aca="false">I867*K867</f>
        <v>0</v>
      </c>
    </row>
    <row r="868" customFormat="false" ht="15" hidden="false" customHeight="false" outlineLevel="0" collapsed="false">
      <c r="A868" s="32" t="s">
        <v>1689</v>
      </c>
      <c r="B868" s="32" t="s">
        <v>23</v>
      </c>
      <c r="C868" s="32" t="s">
        <v>1690</v>
      </c>
      <c r="D868" s="32" t="s">
        <v>25</v>
      </c>
      <c r="E868" s="33" t="n">
        <v>8430942026844</v>
      </c>
      <c r="F868" s="33" t="n">
        <v>1</v>
      </c>
      <c r="G868" s="34" t="n">
        <v>181.54</v>
      </c>
      <c r="H868" s="33" t="n">
        <v>69</v>
      </c>
      <c r="I868" s="34" t="n">
        <f aca="false">G868*((100-H868)/100)</f>
        <v>56.2774</v>
      </c>
      <c r="J868" s="35"/>
      <c r="K868" s="36" t="n">
        <f aca="false">+F868*J868</f>
        <v>0</v>
      </c>
      <c r="L868" s="37" t="n">
        <f aca="false">I868*K868</f>
        <v>0</v>
      </c>
    </row>
    <row r="869" customFormat="false" ht="15" hidden="false" customHeight="false" outlineLevel="0" collapsed="false">
      <c r="A869" s="32" t="s">
        <v>1691</v>
      </c>
      <c r="B869" s="32" t="s">
        <v>23</v>
      </c>
      <c r="C869" s="32" t="s">
        <v>1692</v>
      </c>
      <c r="D869" s="32" t="s">
        <v>25</v>
      </c>
      <c r="E869" s="33" t="n">
        <v>8430942329310</v>
      </c>
      <c r="F869" s="33" t="n">
        <v>1</v>
      </c>
      <c r="G869" s="34" t="n">
        <v>250.77</v>
      </c>
      <c r="H869" s="33" t="n">
        <v>69</v>
      </c>
      <c r="I869" s="34" t="n">
        <f aca="false">G869*((100-H869)/100)</f>
        <v>77.7387</v>
      </c>
      <c r="J869" s="35"/>
      <c r="K869" s="36" t="n">
        <f aca="false">+F869*J869</f>
        <v>0</v>
      </c>
      <c r="L869" s="37" t="n">
        <f aca="false">I869*K869</f>
        <v>0</v>
      </c>
    </row>
    <row r="870" customFormat="false" ht="15" hidden="false" customHeight="false" outlineLevel="0" collapsed="false">
      <c r="A870" s="32" t="s">
        <v>1693</v>
      </c>
      <c r="B870" s="32" t="s">
        <v>23</v>
      </c>
      <c r="C870" s="32" t="s">
        <v>1694</v>
      </c>
      <c r="D870" s="32" t="s">
        <v>25</v>
      </c>
      <c r="E870" s="33" t="n">
        <v>8430942040246</v>
      </c>
      <c r="F870" s="33" t="n">
        <v>1</v>
      </c>
      <c r="G870" s="34" t="n">
        <v>102.31</v>
      </c>
      <c r="H870" s="33" t="n">
        <v>69</v>
      </c>
      <c r="I870" s="34" t="n">
        <f aca="false">G870*((100-H870)/100)</f>
        <v>31.7161</v>
      </c>
      <c r="J870" s="35"/>
      <c r="K870" s="36" t="n">
        <f aca="false">+F870*J870</f>
        <v>0</v>
      </c>
      <c r="L870" s="37" t="n">
        <f aca="false">I870*K870</f>
        <v>0</v>
      </c>
    </row>
    <row r="871" customFormat="false" ht="15" hidden="false" customHeight="false" outlineLevel="0" collapsed="false">
      <c r="A871" s="32" t="s">
        <v>1695</v>
      </c>
      <c r="B871" s="32" t="s">
        <v>23</v>
      </c>
      <c r="C871" s="32" t="s">
        <v>1696</v>
      </c>
      <c r="D871" s="32" t="s">
        <v>25</v>
      </c>
      <c r="E871" s="33" t="n">
        <v>8430942040222</v>
      </c>
      <c r="F871" s="33" t="n">
        <v>1</v>
      </c>
      <c r="G871" s="34" t="n">
        <v>133.85</v>
      </c>
      <c r="H871" s="33" t="n">
        <v>69</v>
      </c>
      <c r="I871" s="34" t="n">
        <f aca="false">G871*((100-H871)/100)</f>
        <v>41.4935</v>
      </c>
      <c r="J871" s="35"/>
      <c r="K871" s="36" t="n">
        <f aca="false">+F871*J871</f>
        <v>0</v>
      </c>
      <c r="L871" s="37" t="n">
        <f aca="false">I871*K871</f>
        <v>0</v>
      </c>
    </row>
    <row r="872" customFormat="false" ht="15" hidden="false" customHeight="false" outlineLevel="0" collapsed="false">
      <c r="A872" s="32" t="s">
        <v>1697</v>
      </c>
      <c r="B872" s="32" t="s">
        <v>23</v>
      </c>
      <c r="C872" s="32" t="s">
        <v>1698</v>
      </c>
      <c r="D872" s="32" t="s">
        <v>25</v>
      </c>
      <c r="E872" s="33" t="n">
        <v>8430942329327</v>
      </c>
      <c r="F872" s="33" t="n">
        <v>1</v>
      </c>
      <c r="G872" s="34" t="n">
        <v>182.69</v>
      </c>
      <c r="H872" s="33" t="n">
        <v>69</v>
      </c>
      <c r="I872" s="34" t="n">
        <f aca="false">G872*((100-H872)/100)</f>
        <v>56.6339</v>
      </c>
      <c r="J872" s="35"/>
      <c r="K872" s="36" t="n">
        <f aca="false">+F872*J872</f>
        <v>0</v>
      </c>
      <c r="L872" s="37" t="n">
        <f aca="false">I872*K872</f>
        <v>0</v>
      </c>
    </row>
    <row r="873" customFormat="false" ht="15" hidden="false" customHeight="false" outlineLevel="0" collapsed="false">
      <c r="A873" s="32" t="s">
        <v>1699</v>
      </c>
      <c r="B873" s="32" t="s">
        <v>23</v>
      </c>
      <c r="C873" s="32" t="s">
        <v>1700</v>
      </c>
      <c r="D873" s="32" t="s">
        <v>126</v>
      </c>
      <c r="E873" s="33" t="n">
        <v>8430942018085</v>
      </c>
      <c r="F873" s="33" t="n">
        <v>1</v>
      </c>
      <c r="G873" s="34" t="n">
        <v>94.81</v>
      </c>
      <c r="H873" s="33" t="n">
        <v>69</v>
      </c>
      <c r="I873" s="34" t="n">
        <f aca="false">G873*((100-H873)/100)</f>
        <v>29.3911</v>
      </c>
      <c r="J873" s="35"/>
      <c r="K873" s="36" t="n">
        <f aca="false">+F873*J873</f>
        <v>0</v>
      </c>
      <c r="L873" s="37" t="n">
        <f aca="false">I873*K873</f>
        <v>0</v>
      </c>
    </row>
    <row r="874" customFormat="false" ht="15" hidden="false" customHeight="false" outlineLevel="0" collapsed="false">
      <c r="A874" s="32" t="s">
        <v>1701</v>
      </c>
      <c r="B874" s="32" t="s">
        <v>23</v>
      </c>
      <c r="C874" s="32" t="s">
        <v>1702</v>
      </c>
      <c r="D874" s="32" t="s">
        <v>126</v>
      </c>
      <c r="E874" s="33" t="n">
        <v>8430942040291</v>
      </c>
      <c r="F874" s="33" t="n">
        <v>1</v>
      </c>
      <c r="G874" s="34" t="n">
        <v>122.12</v>
      </c>
      <c r="H874" s="33" t="n">
        <v>69</v>
      </c>
      <c r="I874" s="34" t="n">
        <f aca="false">G874*((100-H874)/100)</f>
        <v>37.8572</v>
      </c>
      <c r="J874" s="35"/>
      <c r="K874" s="36" t="n">
        <f aca="false">+F874*J874</f>
        <v>0</v>
      </c>
      <c r="L874" s="37" t="n">
        <f aca="false">I874*K874</f>
        <v>0</v>
      </c>
    </row>
    <row r="875" customFormat="false" ht="15" hidden="false" customHeight="false" outlineLevel="0" collapsed="false">
      <c r="A875" s="32" t="s">
        <v>1703</v>
      </c>
      <c r="B875" s="32" t="s">
        <v>23</v>
      </c>
      <c r="C875" s="32" t="s">
        <v>1704</v>
      </c>
      <c r="D875" s="32" t="s">
        <v>126</v>
      </c>
      <c r="E875" s="33" t="n">
        <v>8430942036980</v>
      </c>
      <c r="F875" s="33" t="n">
        <v>1</v>
      </c>
      <c r="G875" s="34" t="n">
        <v>175.77</v>
      </c>
      <c r="H875" s="33" t="n">
        <v>69</v>
      </c>
      <c r="I875" s="34" t="n">
        <f aca="false">G875*((100-H875)/100)</f>
        <v>54.4887</v>
      </c>
      <c r="J875" s="35"/>
      <c r="K875" s="36" t="n">
        <f aca="false">+F875*J875</f>
        <v>0</v>
      </c>
      <c r="L875" s="37" t="n">
        <f aca="false">I875*K875</f>
        <v>0</v>
      </c>
    </row>
    <row r="876" customFormat="false" ht="15" hidden="false" customHeight="false" outlineLevel="0" collapsed="false">
      <c r="A876" s="32" t="s">
        <v>1705</v>
      </c>
      <c r="B876" s="32" t="s">
        <v>23</v>
      </c>
      <c r="C876" s="32" t="s">
        <v>1706</v>
      </c>
      <c r="D876" s="32" t="s">
        <v>126</v>
      </c>
      <c r="E876" s="33" t="n">
        <v>8430942039967</v>
      </c>
      <c r="F876" s="33" t="n">
        <v>1</v>
      </c>
      <c r="G876" s="34" t="n">
        <v>161.73</v>
      </c>
      <c r="H876" s="33" t="n">
        <v>69</v>
      </c>
      <c r="I876" s="34" t="n">
        <f aca="false">G876*((100-H876)/100)</f>
        <v>50.1363</v>
      </c>
      <c r="J876" s="35"/>
      <c r="K876" s="36" t="n">
        <f aca="false">+F876*J876</f>
        <v>0</v>
      </c>
      <c r="L876" s="37" t="n">
        <f aca="false">I876*K876</f>
        <v>0</v>
      </c>
    </row>
    <row r="877" customFormat="false" ht="15" hidden="false" customHeight="false" outlineLevel="0" collapsed="false">
      <c r="A877" s="32" t="s">
        <v>1707</v>
      </c>
      <c r="B877" s="32" t="s">
        <v>23</v>
      </c>
      <c r="C877" s="32" t="s">
        <v>1708</v>
      </c>
      <c r="D877" s="32" t="s">
        <v>126</v>
      </c>
      <c r="E877" s="33" t="n">
        <v>8430942040284</v>
      </c>
      <c r="F877" s="33" t="n">
        <v>1</v>
      </c>
      <c r="G877" s="34" t="n">
        <v>208.27</v>
      </c>
      <c r="H877" s="33" t="n">
        <v>69</v>
      </c>
      <c r="I877" s="34" t="n">
        <f aca="false">G877*((100-H877)/100)</f>
        <v>64.5637</v>
      </c>
      <c r="J877" s="35"/>
      <c r="K877" s="36" t="n">
        <f aca="false">+F877*J877</f>
        <v>0</v>
      </c>
      <c r="L877" s="37" t="n">
        <f aca="false">I877*K877</f>
        <v>0</v>
      </c>
    </row>
    <row r="878" customFormat="false" ht="15" hidden="false" customHeight="false" outlineLevel="0" collapsed="false">
      <c r="A878" s="32" t="s">
        <v>1709</v>
      </c>
      <c r="B878" s="32" t="s">
        <v>23</v>
      </c>
      <c r="C878" s="32" t="s">
        <v>1710</v>
      </c>
      <c r="D878" s="32" t="s">
        <v>126</v>
      </c>
      <c r="E878" s="33" t="n">
        <v>8430942026547</v>
      </c>
      <c r="F878" s="33" t="n">
        <v>1</v>
      </c>
      <c r="G878" s="34" t="n">
        <v>299.62</v>
      </c>
      <c r="H878" s="33" t="n">
        <v>69</v>
      </c>
      <c r="I878" s="34" t="n">
        <f aca="false">G878*((100-H878)/100)</f>
        <v>92.8822</v>
      </c>
      <c r="J878" s="35"/>
      <c r="K878" s="36" t="n">
        <f aca="false">+F878*J878</f>
        <v>0</v>
      </c>
      <c r="L878" s="37" t="n">
        <f aca="false">I878*K878</f>
        <v>0</v>
      </c>
    </row>
    <row r="879" customFormat="false" ht="15" hidden="false" customHeight="false" outlineLevel="0" collapsed="false">
      <c r="A879" s="32" t="s">
        <v>1711</v>
      </c>
      <c r="B879" s="32" t="s">
        <v>23</v>
      </c>
      <c r="C879" s="32" t="s">
        <v>1712</v>
      </c>
      <c r="D879" s="32" t="s">
        <v>211</v>
      </c>
      <c r="E879" s="33" t="n">
        <v>8430942038267</v>
      </c>
      <c r="F879" s="33" t="n">
        <v>1</v>
      </c>
      <c r="G879" s="34" t="n">
        <v>189.19</v>
      </c>
      <c r="H879" s="33" t="n">
        <v>69</v>
      </c>
      <c r="I879" s="34" t="n">
        <f aca="false">G879*((100-H879)/100)</f>
        <v>58.6489</v>
      </c>
      <c r="J879" s="35"/>
      <c r="K879" s="36" t="n">
        <f aca="false">+F879*J879</f>
        <v>0</v>
      </c>
      <c r="L879" s="37" t="n">
        <f aca="false">I879*K879</f>
        <v>0</v>
      </c>
    </row>
    <row r="880" customFormat="false" ht="15" hidden="false" customHeight="false" outlineLevel="0" collapsed="false">
      <c r="A880" s="32" t="s">
        <v>1713</v>
      </c>
      <c r="B880" s="32" t="s">
        <v>23</v>
      </c>
      <c r="C880" s="32" t="s">
        <v>1714</v>
      </c>
      <c r="D880" s="32" t="s">
        <v>211</v>
      </c>
      <c r="E880" s="33" t="n">
        <v>8430942039950</v>
      </c>
      <c r="F880" s="33" t="n">
        <v>1</v>
      </c>
      <c r="G880" s="34" t="n">
        <v>234.04</v>
      </c>
      <c r="H880" s="33" t="n">
        <v>69</v>
      </c>
      <c r="I880" s="34" t="n">
        <f aca="false">G880*((100-H880)/100)</f>
        <v>72.5524</v>
      </c>
      <c r="J880" s="35"/>
      <c r="K880" s="36" t="n">
        <f aca="false">+F880*J880</f>
        <v>0</v>
      </c>
      <c r="L880" s="37" t="n">
        <f aca="false">I880*K880</f>
        <v>0</v>
      </c>
    </row>
    <row r="881" customFormat="false" ht="15" hidden="false" customHeight="false" outlineLevel="0" collapsed="false">
      <c r="A881" s="32" t="s">
        <v>1715</v>
      </c>
      <c r="B881" s="32" t="s">
        <v>23</v>
      </c>
      <c r="C881" s="32" t="s">
        <v>1716</v>
      </c>
      <c r="D881" s="32" t="s">
        <v>211</v>
      </c>
      <c r="E881" s="33" t="n">
        <v>8430942329556</v>
      </c>
      <c r="F881" s="33" t="n">
        <v>1</v>
      </c>
      <c r="G881" s="34" t="n">
        <v>356.15</v>
      </c>
      <c r="H881" s="33" t="n">
        <v>69</v>
      </c>
      <c r="I881" s="34" t="n">
        <f aca="false">G881*((100-H881)/100)</f>
        <v>110.4065</v>
      </c>
      <c r="J881" s="35"/>
      <c r="K881" s="36" t="n">
        <f aca="false">+F881*J881</f>
        <v>0</v>
      </c>
      <c r="L881" s="37" t="n">
        <f aca="false">I881*K881</f>
        <v>0</v>
      </c>
    </row>
    <row r="882" customFormat="false" ht="15" hidden="false" customHeight="false" outlineLevel="0" collapsed="false">
      <c r="A882" s="32" t="s">
        <v>1717</v>
      </c>
      <c r="B882" s="32" t="s">
        <v>23</v>
      </c>
      <c r="C882" s="32" t="s">
        <v>1718</v>
      </c>
      <c r="D882" s="32" t="s">
        <v>224</v>
      </c>
      <c r="E882" s="33" t="n">
        <v>8430942039929</v>
      </c>
      <c r="F882" s="33" t="n">
        <v>1</v>
      </c>
      <c r="G882" s="34" t="n">
        <v>36.92</v>
      </c>
      <c r="H882" s="33" t="n">
        <v>69</v>
      </c>
      <c r="I882" s="34" t="n">
        <f aca="false">G882*((100-H882)/100)</f>
        <v>11.4452</v>
      </c>
      <c r="J882" s="35"/>
      <c r="K882" s="36" t="n">
        <f aca="false">+F882*J882</f>
        <v>0</v>
      </c>
      <c r="L882" s="37" t="n">
        <f aca="false">I882*K882</f>
        <v>0</v>
      </c>
    </row>
    <row r="883" customFormat="false" ht="15" hidden="false" customHeight="false" outlineLevel="0" collapsed="false">
      <c r="A883" s="32" t="s">
        <v>1719</v>
      </c>
      <c r="B883" s="32" t="s">
        <v>23</v>
      </c>
      <c r="C883" s="32" t="s">
        <v>1720</v>
      </c>
      <c r="D883" s="32" t="s">
        <v>224</v>
      </c>
      <c r="E883" s="33" t="n">
        <v>8430942025588</v>
      </c>
      <c r="F883" s="33" t="n">
        <v>1</v>
      </c>
      <c r="G883" s="34" t="n">
        <v>44.69</v>
      </c>
      <c r="H883" s="33" t="n">
        <v>69</v>
      </c>
      <c r="I883" s="34" t="n">
        <f aca="false">G883*((100-H883)/100)</f>
        <v>13.8539</v>
      </c>
      <c r="J883" s="35"/>
      <c r="K883" s="36" t="n">
        <f aca="false">+F883*J883</f>
        <v>0</v>
      </c>
      <c r="L883" s="37" t="n">
        <f aca="false">I883*K883</f>
        <v>0</v>
      </c>
    </row>
    <row r="884" customFormat="false" ht="15" hidden="false" customHeight="false" outlineLevel="0" collapsed="false">
      <c r="A884" s="32" t="s">
        <v>1721</v>
      </c>
      <c r="B884" s="32" t="s">
        <v>23</v>
      </c>
      <c r="C884" s="32" t="s">
        <v>1722</v>
      </c>
      <c r="D884" s="32" t="s">
        <v>224</v>
      </c>
      <c r="E884" s="33" t="n">
        <v>8430942025571</v>
      </c>
      <c r="F884" s="33" t="n">
        <v>1</v>
      </c>
      <c r="G884" s="34" t="n">
        <v>63.62</v>
      </c>
      <c r="H884" s="33" t="n">
        <v>69</v>
      </c>
      <c r="I884" s="34" t="n">
        <f aca="false">G884*((100-H884)/100)</f>
        <v>19.7222</v>
      </c>
      <c r="J884" s="35"/>
      <c r="K884" s="36" t="n">
        <f aca="false">+F884*J884</f>
        <v>0</v>
      </c>
      <c r="L884" s="37" t="n">
        <f aca="false">I884*K884</f>
        <v>0</v>
      </c>
    </row>
    <row r="885" customFormat="false" ht="15" hidden="false" customHeight="false" outlineLevel="0" collapsed="false">
      <c r="A885" s="32" t="s">
        <v>723</v>
      </c>
      <c r="B885" s="32" t="s">
        <v>23</v>
      </c>
      <c r="C885" s="32" t="s">
        <v>724</v>
      </c>
      <c r="D885" s="32" t="s">
        <v>237</v>
      </c>
      <c r="E885" s="33" t="n">
        <v>8430942354268</v>
      </c>
      <c r="F885" s="33" t="n">
        <v>1</v>
      </c>
      <c r="G885" s="34" t="n">
        <v>220.16</v>
      </c>
      <c r="H885" s="33" t="n">
        <v>69</v>
      </c>
      <c r="I885" s="34" t="n">
        <f aca="false">G885*((100-H885)/100)</f>
        <v>68.2496</v>
      </c>
      <c r="J885" s="35"/>
      <c r="K885" s="36" t="n">
        <f aca="false">+F885*J885</f>
        <v>0</v>
      </c>
      <c r="L885" s="37" t="n">
        <f aca="false">I885*K885</f>
        <v>0</v>
      </c>
    </row>
    <row r="886" customFormat="false" ht="15" hidden="false" customHeight="false" outlineLevel="0" collapsed="false">
      <c r="A886" s="32" t="s">
        <v>235</v>
      </c>
      <c r="B886" s="32" t="s">
        <v>23</v>
      </c>
      <c r="C886" s="32" t="s">
        <v>236</v>
      </c>
      <c r="D886" s="32" t="s">
        <v>237</v>
      </c>
      <c r="E886" s="33" t="n">
        <v>8430942354275</v>
      </c>
      <c r="F886" s="33" t="n">
        <v>1</v>
      </c>
      <c r="G886" s="34" t="n">
        <v>222.9</v>
      </c>
      <c r="H886" s="33" t="n">
        <v>69</v>
      </c>
      <c r="I886" s="34" t="n">
        <f aca="false">G886*((100-H886)/100)</f>
        <v>69.099</v>
      </c>
      <c r="J886" s="35"/>
      <c r="K886" s="36" t="n">
        <f aca="false">+F886*J886</f>
        <v>0</v>
      </c>
      <c r="L886" s="37" t="n">
        <f aca="false">I886*K886</f>
        <v>0</v>
      </c>
    </row>
    <row r="887" customFormat="false" ht="15" hidden="false" customHeight="false" outlineLevel="0" collapsed="false">
      <c r="A887" s="32" t="s">
        <v>1723</v>
      </c>
      <c r="B887" s="32" t="s">
        <v>23</v>
      </c>
      <c r="C887" s="32" t="s">
        <v>1724</v>
      </c>
      <c r="D887" s="32" t="s">
        <v>278</v>
      </c>
      <c r="E887" s="33" t="n">
        <v>8430942354855</v>
      </c>
      <c r="F887" s="33" t="n">
        <v>1</v>
      </c>
      <c r="G887" s="34" t="n">
        <v>44.7</v>
      </c>
      <c r="H887" s="33" t="n">
        <v>69</v>
      </c>
      <c r="I887" s="34" t="n">
        <f aca="false">G887*((100-H887)/100)</f>
        <v>13.857</v>
      </c>
      <c r="J887" s="35"/>
      <c r="K887" s="36" t="n">
        <f aca="false">+F887*J887</f>
        <v>0</v>
      </c>
      <c r="L887" s="37" t="n">
        <f aca="false">I887*K887</f>
        <v>0</v>
      </c>
    </row>
    <row r="888" customFormat="false" ht="15" hidden="false" customHeight="false" outlineLevel="0" collapsed="false">
      <c r="A888" s="32" t="s">
        <v>1725</v>
      </c>
      <c r="B888" s="32" t="s">
        <v>23</v>
      </c>
      <c r="C888" s="32" t="s">
        <v>1726</v>
      </c>
      <c r="D888" s="32" t="s">
        <v>278</v>
      </c>
      <c r="E888" s="33" t="n">
        <v>8430942354909</v>
      </c>
      <c r="F888" s="33" t="n">
        <v>1</v>
      </c>
      <c r="G888" s="34" t="n">
        <v>57.57</v>
      </c>
      <c r="H888" s="33" t="n">
        <v>69</v>
      </c>
      <c r="I888" s="34" t="n">
        <f aca="false">G888*((100-H888)/100)</f>
        <v>17.8467</v>
      </c>
      <c r="J888" s="35"/>
      <c r="K888" s="36" t="n">
        <f aca="false">+F888*J888</f>
        <v>0</v>
      </c>
      <c r="L888" s="37" t="n">
        <f aca="false">I888*K888</f>
        <v>0</v>
      </c>
    </row>
    <row r="889" customFormat="false" ht="15" hidden="false" customHeight="false" outlineLevel="0" collapsed="false">
      <c r="A889" s="32" t="s">
        <v>1727</v>
      </c>
      <c r="B889" s="32" t="s">
        <v>23</v>
      </c>
      <c r="C889" s="32" t="s">
        <v>1728</v>
      </c>
      <c r="D889" s="32" t="s">
        <v>278</v>
      </c>
      <c r="E889" s="33" t="n">
        <v>8430942354916</v>
      </c>
      <c r="F889" s="33" t="n">
        <v>1</v>
      </c>
      <c r="G889" s="34" t="n">
        <v>57.57</v>
      </c>
      <c r="H889" s="33" t="n">
        <v>69</v>
      </c>
      <c r="I889" s="34" t="n">
        <f aca="false">G889*((100-H889)/100)</f>
        <v>17.8467</v>
      </c>
      <c r="J889" s="35"/>
      <c r="K889" s="36" t="n">
        <f aca="false">+F889*J889</f>
        <v>0</v>
      </c>
      <c r="L889" s="37" t="n">
        <f aca="false">I889*K889</f>
        <v>0</v>
      </c>
    </row>
    <row r="890" customFormat="false" ht="15" hidden="false" customHeight="false" outlineLevel="0" collapsed="false">
      <c r="A890" s="32" t="s">
        <v>1729</v>
      </c>
      <c r="B890" s="32" t="s">
        <v>23</v>
      </c>
      <c r="C890" s="32" t="s">
        <v>1730</v>
      </c>
      <c r="D890" s="32" t="s">
        <v>871</v>
      </c>
      <c r="E890" s="33" t="n">
        <v>8430942024031</v>
      </c>
      <c r="F890" s="33" t="n">
        <v>1</v>
      </c>
      <c r="G890" s="34" t="n">
        <v>64.31</v>
      </c>
      <c r="H890" s="33" t="n">
        <v>69</v>
      </c>
      <c r="I890" s="34" t="n">
        <f aca="false">G890*((100-H890)/100)</f>
        <v>19.9361</v>
      </c>
      <c r="J890" s="35"/>
      <c r="K890" s="36" t="n">
        <f aca="false">+F890*J890</f>
        <v>0</v>
      </c>
      <c r="L890" s="37" t="n">
        <f aca="false">I890*K890</f>
        <v>0</v>
      </c>
    </row>
    <row r="891" customFormat="false" ht="15" hidden="false" customHeight="false" outlineLevel="0" collapsed="false">
      <c r="A891" s="32" t="s">
        <v>1731</v>
      </c>
      <c r="B891" s="32" t="s">
        <v>23</v>
      </c>
      <c r="C891" s="32" t="s">
        <v>1732</v>
      </c>
      <c r="D891" s="32" t="s">
        <v>871</v>
      </c>
      <c r="E891" s="33" t="n">
        <v>8430942328641</v>
      </c>
      <c r="F891" s="33" t="n">
        <v>1</v>
      </c>
      <c r="G891" s="34" t="n">
        <v>90.2</v>
      </c>
      <c r="H891" s="33" t="n">
        <v>69</v>
      </c>
      <c r="I891" s="34" t="n">
        <f aca="false">G891*((100-H891)/100)</f>
        <v>27.962</v>
      </c>
      <c r="J891" s="35"/>
      <c r="K891" s="36" t="n">
        <f aca="false">+F891*J891</f>
        <v>0</v>
      </c>
      <c r="L891" s="37" t="n">
        <f aca="false">I891*K891</f>
        <v>0</v>
      </c>
    </row>
    <row r="892" customFormat="false" ht="15" hidden="false" customHeight="false" outlineLevel="0" collapsed="false">
      <c r="A892" s="32" t="s">
        <v>1733</v>
      </c>
      <c r="B892" s="32" t="s">
        <v>23</v>
      </c>
      <c r="C892" s="32" t="s">
        <v>1734</v>
      </c>
      <c r="D892" s="32" t="s">
        <v>871</v>
      </c>
      <c r="E892" s="33" t="n">
        <v>8430942035006</v>
      </c>
      <c r="F892" s="33" t="n">
        <v>1</v>
      </c>
      <c r="G892" s="34" t="n">
        <v>110.55</v>
      </c>
      <c r="H892" s="33" t="n">
        <v>69</v>
      </c>
      <c r="I892" s="34" t="n">
        <f aca="false">G892*((100-H892)/100)</f>
        <v>34.2705</v>
      </c>
      <c r="J892" s="35"/>
      <c r="K892" s="36" t="n">
        <f aca="false">+F892*J892</f>
        <v>0</v>
      </c>
      <c r="L892" s="37" t="n">
        <f aca="false">I892*K892</f>
        <v>0</v>
      </c>
    </row>
    <row r="893" customFormat="false" ht="15" hidden="false" customHeight="false" outlineLevel="0" collapsed="false">
      <c r="A893" s="32" t="s">
        <v>1735</v>
      </c>
      <c r="B893" s="32" t="s">
        <v>23</v>
      </c>
      <c r="C893" s="32" t="s">
        <v>1736</v>
      </c>
      <c r="D893" s="32" t="s">
        <v>871</v>
      </c>
      <c r="E893" s="33" t="n">
        <v>8430942034498</v>
      </c>
      <c r="F893" s="33" t="n">
        <v>1</v>
      </c>
      <c r="G893" s="34" t="n">
        <v>64.31</v>
      </c>
      <c r="H893" s="33" t="n">
        <v>69</v>
      </c>
      <c r="I893" s="34" t="n">
        <f aca="false">G893*((100-H893)/100)</f>
        <v>19.9361</v>
      </c>
      <c r="J893" s="35"/>
      <c r="K893" s="36" t="n">
        <f aca="false">+F893*J893</f>
        <v>0</v>
      </c>
      <c r="L893" s="37" t="n">
        <f aca="false">I893*K893</f>
        <v>0</v>
      </c>
    </row>
    <row r="894" customFormat="false" ht="15" hidden="false" customHeight="false" outlineLevel="0" collapsed="false">
      <c r="A894" s="32" t="s">
        <v>1737</v>
      </c>
      <c r="B894" s="32" t="s">
        <v>23</v>
      </c>
      <c r="C894" s="32" t="s">
        <v>1738</v>
      </c>
      <c r="D894" s="32" t="s">
        <v>871</v>
      </c>
      <c r="E894" s="33" t="n">
        <v>8430942018481</v>
      </c>
      <c r="F894" s="33" t="n">
        <v>1</v>
      </c>
      <c r="G894" s="34" t="n">
        <v>90.2</v>
      </c>
      <c r="H894" s="33" t="n">
        <v>69</v>
      </c>
      <c r="I894" s="34" t="n">
        <f aca="false">G894*((100-H894)/100)</f>
        <v>27.962</v>
      </c>
      <c r="J894" s="35"/>
      <c r="K894" s="36" t="n">
        <f aca="false">+F894*J894</f>
        <v>0</v>
      </c>
      <c r="L894" s="37" t="n">
        <f aca="false">I894*K894</f>
        <v>0</v>
      </c>
    </row>
    <row r="895" customFormat="false" ht="15" hidden="false" customHeight="false" outlineLevel="0" collapsed="false">
      <c r="A895" s="32" t="s">
        <v>1739</v>
      </c>
      <c r="B895" s="32" t="s">
        <v>23</v>
      </c>
      <c r="C895" s="32" t="s">
        <v>1740</v>
      </c>
      <c r="D895" s="32" t="s">
        <v>871</v>
      </c>
      <c r="E895" s="33" t="n">
        <v>8430942026738</v>
      </c>
      <c r="F895" s="33" t="n">
        <v>1</v>
      </c>
      <c r="G895" s="34" t="n">
        <v>110.55</v>
      </c>
      <c r="H895" s="33" t="n">
        <v>69</v>
      </c>
      <c r="I895" s="34" t="n">
        <f aca="false">G895*((100-H895)/100)</f>
        <v>34.2705</v>
      </c>
      <c r="J895" s="35"/>
      <c r="K895" s="36" t="n">
        <f aca="false">+F895*J895</f>
        <v>0</v>
      </c>
      <c r="L895" s="37" t="n">
        <f aca="false">I895*K895</f>
        <v>0</v>
      </c>
    </row>
    <row r="896" customFormat="false" ht="15" hidden="false" customHeight="false" outlineLevel="0" collapsed="false">
      <c r="A896" s="32" t="s">
        <v>1741</v>
      </c>
      <c r="B896" s="32" t="s">
        <v>23</v>
      </c>
      <c r="C896" s="32" t="s">
        <v>1742</v>
      </c>
      <c r="D896" s="32" t="s">
        <v>1591</v>
      </c>
      <c r="E896" s="33" t="n">
        <v>8430942328764</v>
      </c>
      <c r="F896" s="33" t="n">
        <v>1</v>
      </c>
      <c r="G896" s="34" t="n">
        <v>36.47</v>
      </c>
      <c r="H896" s="33" t="n">
        <v>69</v>
      </c>
      <c r="I896" s="34" t="n">
        <f aca="false">G896*((100-H896)/100)</f>
        <v>11.3057</v>
      </c>
      <c r="J896" s="35"/>
      <c r="K896" s="36" t="n">
        <f aca="false">+F896*J896</f>
        <v>0</v>
      </c>
      <c r="L896" s="37" t="n">
        <f aca="false">I896*K896</f>
        <v>0</v>
      </c>
    </row>
    <row r="897" customFormat="false" ht="15" hidden="false" customHeight="false" outlineLevel="0" collapsed="false">
      <c r="A897" s="32" t="s">
        <v>1743</v>
      </c>
      <c r="B897" s="32" t="s">
        <v>23</v>
      </c>
      <c r="C897" s="32" t="s">
        <v>1744</v>
      </c>
      <c r="D897" s="32" t="s">
        <v>1591</v>
      </c>
      <c r="E897" s="33" t="n">
        <v>8430942328788</v>
      </c>
      <c r="F897" s="33" t="n">
        <v>1</v>
      </c>
      <c r="G897" s="34" t="n">
        <v>40.68</v>
      </c>
      <c r="H897" s="33" t="n">
        <v>69</v>
      </c>
      <c r="I897" s="34" t="n">
        <f aca="false">G897*((100-H897)/100)</f>
        <v>12.6108</v>
      </c>
      <c r="J897" s="35"/>
      <c r="K897" s="36" t="n">
        <f aca="false">+F897*J897</f>
        <v>0</v>
      </c>
      <c r="L897" s="37" t="n">
        <f aca="false">I897*K897</f>
        <v>0</v>
      </c>
    </row>
    <row r="898" customFormat="false" ht="15" hidden="false" customHeight="false" outlineLevel="0" collapsed="false">
      <c r="A898" s="32" t="s">
        <v>1745</v>
      </c>
      <c r="B898" s="32" t="s">
        <v>23</v>
      </c>
      <c r="C898" s="32" t="s">
        <v>1746</v>
      </c>
      <c r="D898" s="32" t="s">
        <v>1591</v>
      </c>
      <c r="E898" s="33" t="n">
        <v>8430942328795</v>
      </c>
      <c r="F898" s="33" t="n">
        <v>1</v>
      </c>
      <c r="G898" s="34" t="n">
        <v>49.31</v>
      </c>
      <c r="H898" s="33" t="n">
        <v>69</v>
      </c>
      <c r="I898" s="34" t="n">
        <f aca="false">G898*((100-H898)/100)</f>
        <v>15.2861</v>
      </c>
      <c r="J898" s="35"/>
      <c r="K898" s="36" t="n">
        <f aca="false">+F898*J898</f>
        <v>0</v>
      </c>
      <c r="L898" s="37" t="n">
        <f aca="false">I898*K898</f>
        <v>0</v>
      </c>
    </row>
    <row r="899" customFormat="false" ht="15" hidden="false" customHeight="false" outlineLevel="0" collapsed="false">
      <c r="A899" s="32" t="s">
        <v>1747</v>
      </c>
      <c r="B899" s="32" t="s">
        <v>23</v>
      </c>
      <c r="C899" s="32" t="s">
        <v>1748</v>
      </c>
      <c r="D899" s="32" t="s">
        <v>758</v>
      </c>
      <c r="E899" s="33" t="n">
        <v>8430942328917</v>
      </c>
      <c r="F899" s="33" t="n">
        <v>1</v>
      </c>
      <c r="G899" s="34" t="n">
        <v>11.34</v>
      </c>
      <c r="H899" s="33" t="n">
        <v>69</v>
      </c>
      <c r="I899" s="34" t="n">
        <f aca="false">G899*((100-H899)/100)</f>
        <v>3.5154</v>
      </c>
      <c r="J899" s="35"/>
      <c r="K899" s="36" t="n">
        <f aca="false">+F899*J899</f>
        <v>0</v>
      </c>
      <c r="L899" s="37" t="n">
        <f aca="false">I899*K899</f>
        <v>0</v>
      </c>
    </row>
    <row r="900" customFormat="false" ht="15" hidden="false" customHeight="false" outlineLevel="0" collapsed="false">
      <c r="A900" s="32" t="s">
        <v>1749</v>
      </c>
      <c r="B900" s="32" t="s">
        <v>23</v>
      </c>
      <c r="C900" s="32" t="s">
        <v>1750</v>
      </c>
      <c r="D900" s="32" t="s">
        <v>758</v>
      </c>
      <c r="E900" s="33" t="n">
        <v>8430942328931</v>
      </c>
      <c r="F900" s="33" t="n">
        <v>1</v>
      </c>
      <c r="G900" s="34" t="n">
        <v>13.7</v>
      </c>
      <c r="H900" s="33" t="n">
        <v>69</v>
      </c>
      <c r="I900" s="34" t="n">
        <f aca="false">G900*((100-H900)/100)</f>
        <v>4.247</v>
      </c>
      <c r="J900" s="35"/>
      <c r="K900" s="36" t="n">
        <f aca="false">+F900*J900</f>
        <v>0</v>
      </c>
      <c r="L900" s="37" t="n">
        <f aca="false">I900*K900</f>
        <v>0</v>
      </c>
    </row>
    <row r="901" customFormat="false" ht="15" hidden="false" customHeight="false" outlineLevel="0" collapsed="false">
      <c r="A901" s="32" t="s">
        <v>1751</v>
      </c>
      <c r="B901" s="32" t="s">
        <v>23</v>
      </c>
      <c r="C901" s="32" t="s">
        <v>1752</v>
      </c>
      <c r="D901" s="32" t="s">
        <v>758</v>
      </c>
      <c r="E901" s="33" t="n">
        <v>8430942328948</v>
      </c>
      <c r="F901" s="33" t="n">
        <v>1</v>
      </c>
      <c r="G901" s="34" t="n">
        <v>14.77</v>
      </c>
      <c r="H901" s="33" t="n">
        <v>69</v>
      </c>
      <c r="I901" s="34" t="n">
        <f aca="false">G901*((100-H901)/100)</f>
        <v>4.5787</v>
      </c>
      <c r="J901" s="35"/>
      <c r="K901" s="36" t="n">
        <f aca="false">+F901*J901</f>
        <v>0</v>
      </c>
      <c r="L901" s="37" t="n">
        <f aca="false">I901*K901</f>
        <v>0</v>
      </c>
    </row>
    <row r="902" customFormat="false" ht="15" hidden="false" customHeight="false" outlineLevel="0" collapsed="false">
      <c r="A902" s="32" t="s">
        <v>1221</v>
      </c>
      <c r="B902" s="32" t="s">
        <v>23</v>
      </c>
      <c r="C902" s="32" t="s">
        <v>1222</v>
      </c>
      <c r="D902" s="32" t="s">
        <v>1223</v>
      </c>
      <c r="E902" s="33" t="n">
        <v>8430942354589</v>
      </c>
      <c r="F902" s="33" t="n">
        <v>1</v>
      </c>
      <c r="G902" s="34" t="n">
        <v>32.4</v>
      </c>
      <c r="H902" s="33" t="n">
        <v>69</v>
      </c>
      <c r="I902" s="34" t="n">
        <f aca="false">G902*((100-H902)/100)</f>
        <v>10.044</v>
      </c>
      <c r="J902" s="35"/>
      <c r="K902" s="36" t="n">
        <f aca="false">+F902*J902</f>
        <v>0</v>
      </c>
      <c r="L902" s="37" t="n">
        <f aca="false">I902*K902</f>
        <v>0</v>
      </c>
    </row>
    <row r="903" customFormat="false" ht="15" hidden="false" customHeight="false" outlineLevel="0" collapsed="false">
      <c r="A903" s="32" t="s">
        <v>1228</v>
      </c>
      <c r="B903" s="32" t="s">
        <v>23</v>
      </c>
      <c r="C903" s="32" t="s">
        <v>1229</v>
      </c>
      <c r="D903" s="32" t="s">
        <v>1223</v>
      </c>
      <c r="E903" s="33" t="n">
        <v>8430942354619</v>
      </c>
      <c r="F903" s="33" t="n">
        <v>1</v>
      </c>
      <c r="G903" s="34" t="n">
        <v>39.15</v>
      </c>
      <c r="H903" s="33" t="n">
        <v>69</v>
      </c>
      <c r="I903" s="34" t="n">
        <f aca="false">G903*((100-H903)/100)</f>
        <v>12.1365</v>
      </c>
      <c r="J903" s="35"/>
      <c r="K903" s="36" t="n">
        <f aca="false">+F903*J903</f>
        <v>0</v>
      </c>
      <c r="L903" s="37" t="n">
        <f aca="false">I903*K903</f>
        <v>0</v>
      </c>
    </row>
    <row r="904" customFormat="false" ht="15" hidden="false" customHeight="false" outlineLevel="0" collapsed="false">
      <c r="A904" s="32" t="s">
        <v>1230</v>
      </c>
      <c r="B904" s="32" t="s">
        <v>23</v>
      </c>
      <c r="C904" s="32" t="s">
        <v>1231</v>
      </c>
      <c r="D904" s="32" t="s">
        <v>1223</v>
      </c>
      <c r="E904" s="33" t="n">
        <v>8430942354633</v>
      </c>
      <c r="F904" s="33" t="n">
        <v>1</v>
      </c>
      <c r="G904" s="34" t="n">
        <v>52.73</v>
      </c>
      <c r="H904" s="33" t="n">
        <v>69</v>
      </c>
      <c r="I904" s="34" t="n">
        <f aca="false">G904*((100-H904)/100)</f>
        <v>16.3463</v>
      </c>
      <c r="J904" s="35"/>
      <c r="K904" s="36" t="n">
        <f aca="false">+F904*J904</f>
        <v>0</v>
      </c>
      <c r="L904" s="37" t="n">
        <f aca="false">I904*K904</f>
        <v>0</v>
      </c>
    </row>
    <row r="905" customFormat="false" ht="15" hidden="false" customHeight="false" outlineLevel="0" collapsed="false">
      <c r="A905" s="32" t="s">
        <v>1753</v>
      </c>
      <c r="B905" s="32" t="s">
        <v>23</v>
      </c>
      <c r="C905" s="32" t="s">
        <v>1754</v>
      </c>
      <c r="D905" s="32" t="s">
        <v>1630</v>
      </c>
      <c r="E905" s="33" t="n">
        <v>8430942021665</v>
      </c>
      <c r="F905" s="33" t="n">
        <v>1</v>
      </c>
      <c r="G905" s="34" t="n">
        <v>88.1</v>
      </c>
      <c r="H905" s="33" t="n">
        <v>69</v>
      </c>
      <c r="I905" s="34" t="n">
        <f aca="false">G905*((100-H905)/100)</f>
        <v>27.311</v>
      </c>
      <c r="J905" s="35"/>
      <c r="K905" s="36" t="n">
        <f aca="false">+F905*J905</f>
        <v>0</v>
      </c>
      <c r="L905" s="37" t="n">
        <f aca="false">I905*K905</f>
        <v>0</v>
      </c>
    </row>
    <row r="906" customFormat="false" ht="15" hidden="false" customHeight="false" outlineLevel="0" collapsed="false">
      <c r="A906" s="32" t="s">
        <v>1755</v>
      </c>
      <c r="B906" s="32" t="s">
        <v>23</v>
      </c>
      <c r="C906" s="32" t="s">
        <v>1756</v>
      </c>
      <c r="D906" s="32" t="s">
        <v>1630</v>
      </c>
      <c r="E906" s="33" t="n">
        <v>8430942329075</v>
      </c>
      <c r="F906" s="33" t="n">
        <v>1</v>
      </c>
      <c r="G906" s="34" t="n">
        <v>105.56</v>
      </c>
      <c r="H906" s="33" t="n">
        <v>69</v>
      </c>
      <c r="I906" s="34" t="n">
        <f aca="false">G906*((100-H906)/100)</f>
        <v>32.7236</v>
      </c>
      <c r="J906" s="35"/>
      <c r="K906" s="36" t="n">
        <f aca="false">+F906*J906</f>
        <v>0</v>
      </c>
      <c r="L906" s="37" t="n">
        <f aca="false">I906*K906</f>
        <v>0</v>
      </c>
    </row>
    <row r="907" customFormat="false" ht="15" hidden="false" customHeight="false" outlineLevel="0" collapsed="false">
      <c r="A907" s="32" t="s">
        <v>1757</v>
      </c>
      <c r="B907" s="32" t="s">
        <v>23</v>
      </c>
      <c r="C907" s="32" t="s">
        <v>1758</v>
      </c>
      <c r="D907" s="32" t="s">
        <v>1630</v>
      </c>
      <c r="E907" s="33" t="n">
        <v>8430942329082</v>
      </c>
      <c r="F907" s="33" t="n">
        <v>1</v>
      </c>
      <c r="G907" s="34" t="n">
        <v>158.46</v>
      </c>
      <c r="H907" s="33" t="n">
        <v>69</v>
      </c>
      <c r="I907" s="34" t="n">
        <f aca="false">G907*((100-H907)/100)</f>
        <v>49.1226</v>
      </c>
      <c r="J907" s="35"/>
      <c r="K907" s="36" t="n">
        <f aca="false">+F907*J907</f>
        <v>0</v>
      </c>
      <c r="L907" s="37" t="n">
        <f aca="false">I907*K907</f>
        <v>0</v>
      </c>
    </row>
    <row r="908" customFormat="false" ht="15" hidden="false" customHeight="false" outlineLevel="0" collapsed="false">
      <c r="A908" s="32" t="s">
        <v>1759</v>
      </c>
      <c r="B908" s="32" t="s">
        <v>23</v>
      </c>
      <c r="C908" s="32" t="s">
        <v>1760</v>
      </c>
      <c r="D908" s="32" t="s">
        <v>1647</v>
      </c>
      <c r="E908" s="33" t="n">
        <v>8430942045333</v>
      </c>
      <c r="F908" s="33" t="n">
        <v>1</v>
      </c>
      <c r="G908" s="34" t="n">
        <v>106.35</v>
      </c>
      <c r="H908" s="33" t="n">
        <v>69</v>
      </c>
      <c r="I908" s="34" t="n">
        <f aca="false">G908*((100-H908)/100)</f>
        <v>32.9685</v>
      </c>
      <c r="J908" s="35"/>
      <c r="K908" s="36" t="n">
        <f aca="false">+F908*J908</f>
        <v>0</v>
      </c>
      <c r="L908" s="37" t="n">
        <f aca="false">I908*K908</f>
        <v>0</v>
      </c>
    </row>
    <row r="909" customFormat="false" ht="15" hidden="false" customHeight="false" outlineLevel="0" collapsed="false">
      <c r="A909" s="32" t="s">
        <v>1761</v>
      </c>
      <c r="B909" s="32" t="s">
        <v>23</v>
      </c>
      <c r="C909" s="32" t="s">
        <v>1762</v>
      </c>
      <c r="D909" s="32" t="s">
        <v>1647</v>
      </c>
      <c r="E909" s="33" t="n">
        <v>8430942026790</v>
      </c>
      <c r="F909" s="33" t="n">
        <v>1</v>
      </c>
      <c r="G909" s="34" t="n">
        <v>140.19</v>
      </c>
      <c r="H909" s="33" t="n">
        <v>69</v>
      </c>
      <c r="I909" s="34" t="n">
        <f aca="false">G909*((100-H909)/100)</f>
        <v>43.4589</v>
      </c>
      <c r="J909" s="35"/>
      <c r="K909" s="36" t="n">
        <f aca="false">+F909*J909</f>
        <v>0</v>
      </c>
      <c r="L909" s="37" t="n">
        <f aca="false">I909*K909</f>
        <v>0</v>
      </c>
    </row>
    <row r="910" customFormat="false" ht="15" hidden="false" customHeight="false" outlineLevel="0" collapsed="false">
      <c r="A910" s="32" t="s">
        <v>1763</v>
      </c>
      <c r="B910" s="32" t="s">
        <v>23</v>
      </c>
      <c r="C910" s="32" t="s">
        <v>1764</v>
      </c>
      <c r="D910" s="32" t="s">
        <v>1647</v>
      </c>
      <c r="E910" s="33" t="n">
        <v>8430942026783</v>
      </c>
      <c r="F910" s="33" t="n">
        <v>1</v>
      </c>
      <c r="G910" s="34" t="n">
        <v>189.62</v>
      </c>
      <c r="H910" s="33" t="n">
        <v>69</v>
      </c>
      <c r="I910" s="34" t="n">
        <f aca="false">G910*((100-H910)/100)</f>
        <v>58.7822</v>
      </c>
      <c r="J910" s="35"/>
      <c r="K910" s="36" t="n">
        <f aca="false">+F910*J910</f>
        <v>0</v>
      </c>
      <c r="L910" s="37" t="n">
        <f aca="false">I910*K910</f>
        <v>0</v>
      </c>
    </row>
    <row r="911" customFormat="false" ht="15" hidden="false" customHeight="false" outlineLevel="0" collapsed="false">
      <c r="A911" s="32" t="s">
        <v>1765</v>
      </c>
      <c r="B911" s="32" t="s">
        <v>23</v>
      </c>
      <c r="C911" s="32" t="s">
        <v>1766</v>
      </c>
      <c r="D911" s="32" t="s">
        <v>1664</v>
      </c>
      <c r="E911" s="33" t="n">
        <v>8430942354282</v>
      </c>
      <c r="F911" s="33" t="n">
        <v>1</v>
      </c>
      <c r="G911" s="34" t="n">
        <v>276.83</v>
      </c>
      <c r="H911" s="33" t="n">
        <v>69</v>
      </c>
      <c r="I911" s="34" t="n">
        <f aca="false">G911*((100-H911)/100)</f>
        <v>85.8173</v>
      </c>
      <c r="J911" s="35"/>
      <c r="K911" s="36" t="n">
        <f aca="false">+F911*J911</f>
        <v>0</v>
      </c>
      <c r="L911" s="37" t="n">
        <f aca="false">I911*K911</f>
        <v>0</v>
      </c>
    </row>
    <row r="912" customFormat="false" ht="15" hidden="false" customHeight="false" outlineLevel="0" collapsed="false">
      <c r="A912" s="32" t="s">
        <v>1767</v>
      </c>
      <c r="B912" s="32" t="s">
        <v>23</v>
      </c>
      <c r="C912" s="32" t="s">
        <v>1768</v>
      </c>
      <c r="D912" s="32" t="s">
        <v>1664</v>
      </c>
      <c r="E912" s="33" t="n">
        <v>8430942354299</v>
      </c>
      <c r="F912" s="33" t="n">
        <v>1</v>
      </c>
      <c r="G912" s="34" t="n">
        <v>323.03</v>
      </c>
      <c r="H912" s="33" t="n">
        <v>69</v>
      </c>
      <c r="I912" s="34" t="n">
        <f aca="false">G912*((100-H912)/100)</f>
        <v>100.1393</v>
      </c>
      <c r="J912" s="35"/>
      <c r="K912" s="36" t="n">
        <f aca="false">+F912*J912</f>
        <v>0</v>
      </c>
      <c r="L912" s="37" t="n">
        <f aca="false">I912*K912</f>
        <v>0</v>
      </c>
    </row>
    <row r="913" customFormat="false" ht="15" hidden="false" customHeight="false" outlineLevel="0" collapsed="false">
      <c r="A913" s="32" t="s">
        <v>1769</v>
      </c>
      <c r="B913" s="32" t="s">
        <v>23</v>
      </c>
      <c r="C913" s="32" t="s">
        <v>1770</v>
      </c>
      <c r="D913" s="32" t="s">
        <v>1664</v>
      </c>
      <c r="E913" s="33" t="n">
        <v>8430942354305</v>
      </c>
      <c r="F913" s="33" t="n">
        <v>1</v>
      </c>
      <c r="G913" s="34" t="n">
        <v>360.27</v>
      </c>
      <c r="H913" s="33" t="n">
        <v>69</v>
      </c>
      <c r="I913" s="34" t="n">
        <f aca="false">G913*((100-H913)/100)</f>
        <v>111.6837</v>
      </c>
      <c r="J913" s="35"/>
      <c r="K913" s="36" t="n">
        <f aca="false">+F913*J913</f>
        <v>0</v>
      </c>
      <c r="L913" s="37" t="n">
        <f aca="false">I913*K913</f>
        <v>0</v>
      </c>
    </row>
    <row r="914" customFormat="false" ht="15" hidden="false" customHeight="false" outlineLevel="0" collapsed="false">
      <c r="A914" s="32" t="s">
        <v>1127</v>
      </c>
      <c r="B914" s="32" t="s">
        <v>23</v>
      </c>
      <c r="C914" s="32" t="s">
        <v>1128</v>
      </c>
      <c r="D914" s="32" t="s">
        <v>878</v>
      </c>
      <c r="E914" s="33" t="n">
        <v>8430942025540</v>
      </c>
      <c r="F914" s="33" t="n">
        <v>1</v>
      </c>
      <c r="G914" s="34" t="n">
        <v>46.13</v>
      </c>
      <c r="H914" s="33" t="n">
        <v>69</v>
      </c>
      <c r="I914" s="34" t="n">
        <f aca="false">G914*((100-H914)/100)</f>
        <v>14.3003</v>
      </c>
      <c r="J914" s="35"/>
      <c r="K914" s="36" t="n">
        <f aca="false">+F914*J914</f>
        <v>0</v>
      </c>
      <c r="L914" s="37" t="n">
        <f aca="false">I914*K914</f>
        <v>0</v>
      </c>
    </row>
    <row r="915" customFormat="false" ht="15" hidden="false" customHeight="false" outlineLevel="0" collapsed="false">
      <c r="A915" s="32" t="s">
        <v>1133</v>
      </c>
      <c r="B915" s="32" t="s">
        <v>23</v>
      </c>
      <c r="C915" s="32" t="s">
        <v>1134</v>
      </c>
      <c r="D915" s="32" t="s">
        <v>878</v>
      </c>
      <c r="E915" s="33" t="n">
        <v>8430942327927</v>
      </c>
      <c r="F915" s="33" t="n">
        <v>1</v>
      </c>
      <c r="G915" s="34" t="n">
        <v>57.41</v>
      </c>
      <c r="H915" s="33" t="n">
        <v>69</v>
      </c>
      <c r="I915" s="34" t="n">
        <f aca="false">G915*((100-H915)/100)</f>
        <v>17.7971</v>
      </c>
      <c r="J915" s="35"/>
      <c r="K915" s="36" t="n">
        <f aca="false">+F915*J915</f>
        <v>0</v>
      </c>
      <c r="L915" s="37" t="n">
        <f aca="false">I915*K915</f>
        <v>0</v>
      </c>
    </row>
    <row r="916" customFormat="false" ht="15" hidden="false" customHeight="false" outlineLevel="0" collapsed="false">
      <c r="A916" s="32" t="s">
        <v>1135</v>
      </c>
      <c r="B916" s="32" t="s">
        <v>23</v>
      </c>
      <c r="C916" s="32" t="s">
        <v>1136</v>
      </c>
      <c r="D916" s="32" t="s">
        <v>878</v>
      </c>
      <c r="E916" s="33" t="n">
        <v>8430942327934</v>
      </c>
      <c r="F916" s="33" t="n">
        <v>1</v>
      </c>
      <c r="G916" s="34" t="n">
        <v>73.04</v>
      </c>
      <c r="H916" s="33" t="n">
        <v>69</v>
      </c>
      <c r="I916" s="34" t="n">
        <f aca="false">G916*((100-H916)/100)</f>
        <v>22.6424</v>
      </c>
      <c r="J916" s="35"/>
      <c r="K916" s="36" t="n">
        <f aca="false">+F916*J916</f>
        <v>0</v>
      </c>
      <c r="L916" s="37" t="n">
        <f aca="false">I916*K916</f>
        <v>0</v>
      </c>
    </row>
    <row r="917" customFormat="false" ht="15" hidden="false" customHeight="false" outlineLevel="0" collapsed="false">
      <c r="A917" s="32" t="s">
        <v>1276</v>
      </c>
      <c r="B917" s="32" t="s">
        <v>23</v>
      </c>
      <c r="C917" s="32" t="s">
        <v>1277</v>
      </c>
      <c r="D917" s="32" t="s">
        <v>883</v>
      </c>
      <c r="E917" s="33" t="n">
        <v>8430942353919</v>
      </c>
      <c r="F917" s="33" t="n">
        <v>1</v>
      </c>
      <c r="G917" s="34" t="n">
        <v>170.19</v>
      </c>
      <c r="H917" s="33" t="n">
        <v>69</v>
      </c>
      <c r="I917" s="34" t="n">
        <f aca="false">G917*((100-H917)/100)</f>
        <v>52.7589</v>
      </c>
      <c r="J917" s="35"/>
      <c r="K917" s="36" t="n">
        <f aca="false">+F917*J917</f>
        <v>0</v>
      </c>
      <c r="L917" s="37" t="n">
        <f aca="false">I917*K917</f>
        <v>0</v>
      </c>
    </row>
    <row r="918" customFormat="false" ht="15" hidden="false" customHeight="false" outlineLevel="0" collapsed="false">
      <c r="A918" s="32" t="s">
        <v>1282</v>
      </c>
      <c r="B918" s="32" t="s">
        <v>23</v>
      </c>
      <c r="C918" s="32" t="s">
        <v>1283</v>
      </c>
      <c r="D918" s="32" t="s">
        <v>883</v>
      </c>
      <c r="E918" s="33" t="n">
        <v>8430942353940</v>
      </c>
      <c r="F918" s="33" t="n">
        <v>1</v>
      </c>
      <c r="G918" s="34" t="n">
        <v>230.37</v>
      </c>
      <c r="H918" s="33" t="n">
        <v>69</v>
      </c>
      <c r="I918" s="34" t="n">
        <f aca="false">G918*((100-H918)/100)</f>
        <v>71.4147</v>
      </c>
      <c r="J918" s="35"/>
      <c r="K918" s="36" t="n">
        <f aca="false">+F918*J918</f>
        <v>0</v>
      </c>
      <c r="L918" s="37" t="n">
        <f aca="false">I918*K918</f>
        <v>0</v>
      </c>
    </row>
    <row r="919" customFormat="false" ht="15" hidden="false" customHeight="false" outlineLevel="0" collapsed="false">
      <c r="A919" s="32" t="s">
        <v>1284</v>
      </c>
      <c r="B919" s="32" t="s">
        <v>23</v>
      </c>
      <c r="C919" s="32" t="s">
        <v>1285</v>
      </c>
      <c r="D919" s="32" t="s">
        <v>883</v>
      </c>
      <c r="E919" s="33" t="n">
        <v>8430942353964</v>
      </c>
      <c r="F919" s="33" t="n">
        <v>1</v>
      </c>
      <c r="G919" s="34" t="n">
        <v>250.53</v>
      </c>
      <c r="H919" s="33" t="n">
        <v>69</v>
      </c>
      <c r="I919" s="34" t="n">
        <f aca="false">G919*((100-H919)/100)</f>
        <v>77.6643</v>
      </c>
      <c r="J919" s="35"/>
      <c r="K919" s="36" t="n">
        <f aca="false">+F919*J919</f>
        <v>0</v>
      </c>
      <c r="L919" s="37" t="n">
        <f aca="false">I919*K919</f>
        <v>0</v>
      </c>
    </row>
    <row r="920" customFormat="false" ht="15" hidden="false" customHeight="false" outlineLevel="0" collapsed="false">
      <c r="A920" s="32" t="s">
        <v>1288</v>
      </c>
      <c r="B920" s="32" t="s">
        <v>23</v>
      </c>
      <c r="C920" s="32" t="s">
        <v>1289</v>
      </c>
      <c r="D920" s="32" t="s">
        <v>883</v>
      </c>
      <c r="E920" s="33" t="n">
        <v>8430942354015</v>
      </c>
      <c r="F920" s="33" t="n">
        <v>1</v>
      </c>
      <c r="G920" s="34" t="n">
        <v>170.19</v>
      </c>
      <c r="H920" s="33" t="n">
        <v>69</v>
      </c>
      <c r="I920" s="34" t="n">
        <f aca="false">G920*((100-H920)/100)</f>
        <v>52.7589</v>
      </c>
      <c r="J920" s="35"/>
      <c r="K920" s="36" t="n">
        <f aca="false">+F920*J920</f>
        <v>0</v>
      </c>
      <c r="L920" s="37" t="n">
        <f aca="false">I920*K920</f>
        <v>0</v>
      </c>
    </row>
    <row r="921" customFormat="false" ht="15" hidden="false" customHeight="false" outlineLevel="0" collapsed="false">
      <c r="A921" s="32" t="s">
        <v>1294</v>
      </c>
      <c r="B921" s="32" t="s">
        <v>23</v>
      </c>
      <c r="C921" s="32" t="s">
        <v>1295</v>
      </c>
      <c r="D921" s="32" t="s">
        <v>883</v>
      </c>
      <c r="E921" s="33" t="n">
        <v>8430942354046</v>
      </c>
      <c r="F921" s="33" t="n">
        <v>1</v>
      </c>
      <c r="G921" s="34" t="n">
        <v>230.37</v>
      </c>
      <c r="H921" s="33" t="n">
        <v>69</v>
      </c>
      <c r="I921" s="34" t="n">
        <f aca="false">G921*((100-H921)/100)</f>
        <v>71.4147</v>
      </c>
      <c r="J921" s="35"/>
      <c r="K921" s="36" t="n">
        <f aca="false">+F921*J921</f>
        <v>0</v>
      </c>
      <c r="L921" s="37" t="n">
        <f aca="false">I921*K921</f>
        <v>0</v>
      </c>
    </row>
    <row r="922" customFormat="false" ht="15" hidden="false" customHeight="false" outlineLevel="0" collapsed="false">
      <c r="A922" s="32" t="s">
        <v>1296</v>
      </c>
      <c r="B922" s="32" t="s">
        <v>23</v>
      </c>
      <c r="C922" s="32" t="s">
        <v>1297</v>
      </c>
      <c r="D922" s="32" t="s">
        <v>883</v>
      </c>
      <c r="E922" s="33" t="n">
        <v>8430942354060</v>
      </c>
      <c r="F922" s="33" t="n">
        <v>1</v>
      </c>
      <c r="G922" s="34" t="n">
        <v>250.53</v>
      </c>
      <c r="H922" s="33" t="n">
        <v>69</v>
      </c>
      <c r="I922" s="34" t="n">
        <f aca="false">G922*((100-H922)/100)</f>
        <v>77.6643</v>
      </c>
      <c r="J922" s="35"/>
      <c r="K922" s="36" t="n">
        <f aca="false">+F922*J922</f>
        <v>0</v>
      </c>
      <c r="L922" s="37" t="n">
        <f aca="false">I922*K922</f>
        <v>0</v>
      </c>
    </row>
    <row r="923" customFormat="false" ht="15" hidden="false" customHeight="false" outlineLevel="0" collapsed="false">
      <c r="A923" s="32" t="s">
        <v>315</v>
      </c>
      <c r="B923" s="32" t="s">
        <v>23</v>
      </c>
      <c r="C923" s="32" t="s">
        <v>316</v>
      </c>
      <c r="D923" s="32" t="s">
        <v>317</v>
      </c>
      <c r="E923" s="33" t="n">
        <v>8430942359652</v>
      </c>
      <c r="F923" s="33" t="n">
        <v>1</v>
      </c>
      <c r="G923" s="34" t="n">
        <v>37.5</v>
      </c>
      <c r="H923" s="33" t="n">
        <v>69</v>
      </c>
      <c r="I923" s="34" t="n">
        <f aca="false">G923*((100-H923)/100)</f>
        <v>11.625</v>
      </c>
      <c r="J923" s="35"/>
      <c r="K923" s="36" t="n">
        <f aca="false">+F923*J923</f>
        <v>0</v>
      </c>
      <c r="L923" s="37" t="n">
        <f aca="false">I923*K923</f>
        <v>0</v>
      </c>
    </row>
    <row r="924" customFormat="false" ht="26.85" hidden="false" customHeight="false" outlineLevel="0" collapsed="false">
      <c r="A924" s="46" t="s">
        <v>1771</v>
      </c>
      <c r="B924" s="47" t="s">
        <v>1771</v>
      </c>
      <c r="C924" s="47" t="s">
        <v>1771</v>
      </c>
      <c r="D924" s="47" t="s">
        <v>1771</v>
      </c>
      <c r="E924" s="47" t="s">
        <v>1771</v>
      </c>
      <c r="F924" s="47" t="s">
        <v>1771</v>
      </c>
      <c r="G924" s="47" t="s">
        <v>1771</v>
      </c>
      <c r="H924" s="47" t="s">
        <v>1771</v>
      </c>
      <c r="I924" s="47" t="s">
        <v>1771</v>
      </c>
      <c r="J924" s="48" t="s">
        <v>1771</v>
      </c>
      <c r="K924" s="47" t="s">
        <v>1771</v>
      </c>
      <c r="L924" s="47" t="s">
        <v>1771</v>
      </c>
    </row>
    <row r="925" customFormat="false" ht="15" hidden="false" customHeight="false" outlineLevel="0" collapsed="false">
      <c r="A925" s="32" t="s">
        <v>1772</v>
      </c>
      <c r="B925" s="32" t="s">
        <v>23</v>
      </c>
      <c r="C925" s="32" t="s">
        <v>1773</v>
      </c>
      <c r="D925" s="32" t="s">
        <v>25</v>
      </c>
      <c r="E925" s="33" t="n">
        <v>8430942359638</v>
      </c>
      <c r="F925" s="33" t="n">
        <v>1</v>
      </c>
      <c r="G925" s="34" t="n">
        <v>1247.7</v>
      </c>
      <c r="H925" s="33" t="n">
        <v>69</v>
      </c>
      <c r="I925" s="34" t="n">
        <f aca="false">G925*((100-H925)/100)</f>
        <v>386.787</v>
      </c>
      <c r="J925" s="35"/>
      <c r="K925" s="36" t="n">
        <f aca="false">+F925*J925</f>
        <v>0</v>
      </c>
      <c r="L925" s="37" t="n">
        <f aca="false">I925*K925</f>
        <v>0</v>
      </c>
    </row>
    <row r="926" customFormat="false" ht="15" hidden="false" customHeight="false" outlineLevel="0" collapsed="false">
      <c r="A926" s="32" t="s">
        <v>1774</v>
      </c>
      <c r="B926" s="32" t="s">
        <v>23</v>
      </c>
      <c r="C926" s="32" t="s">
        <v>1775</v>
      </c>
      <c r="D926" s="32" t="s">
        <v>25</v>
      </c>
      <c r="E926" s="33" t="n">
        <v>8430942354664</v>
      </c>
      <c r="F926" s="33" t="n">
        <v>1</v>
      </c>
      <c r="G926" s="34" t="n">
        <v>1488.6</v>
      </c>
      <c r="H926" s="33" t="n">
        <v>69</v>
      </c>
      <c r="I926" s="34" t="n">
        <f aca="false">G926*((100-H926)/100)</f>
        <v>461.466</v>
      </c>
      <c r="J926" s="35"/>
      <c r="K926" s="36" t="n">
        <f aca="false">+F926*J926</f>
        <v>0</v>
      </c>
      <c r="L926" s="37" t="n">
        <f aca="false">I926*K926</f>
        <v>0</v>
      </c>
    </row>
    <row r="927" customFormat="false" ht="15" hidden="false" customHeight="false" outlineLevel="0" collapsed="false">
      <c r="A927" s="32" t="s">
        <v>1776</v>
      </c>
      <c r="B927" s="32" t="s">
        <v>23</v>
      </c>
      <c r="C927" s="32" t="s">
        <v>1777</v>
      </c>
      <c r="D927" s="32" t="s">
        <v>25</v>
      </c>
      <c r="E927" s="33" t="n">
        <v>8430942356866</v>
      </c>
      <c r="F927" s="33" t="n">
        <v>1</v>
      </c>
      <c r="G927" s="34" t="n">
        <v>1742.4</v>
      </c>
      <c r="H927" s="33" t="n">
        <v>69</v>
      </c>
      <c r="I927" s="34" t="n">
        <f aca="false">G927*((100-H927)/100)</f>
        <v>540.144</v>
      </c>
      <c r="J927" s="35"/>
      <c r="K927" s="36" t="n">
        <f aca="false">+F927*J927</f>
        <v>0</v>
      </c>
      <c r="L927" s="37" t="n">
        <f aca="false">I927*K927</f>
        <v>0</v>
      </c>
    </row>
    <row r="928" customFormat="false" ht="15" hidden="false" customHeight="false" outlineLevel="0" collapsed="false">
      <c r="A928" s="32" t="s">
        <v>1778</v>
      </c>
      <c r="B928" s="32" t="s">
        <v>23</v>
      </c>
      <c r="C928" s="32" t="s">
        <v>1779</v>
      </c>
      <c r="D928" s="32" t="s">
        <v>25</v>
      </c>
      <c r="E928" s="33" t="n">
        <v>8430942356873</v>
      </c>
      <c r="F928" s="33" t="n">
        <v>1</v>
      </c>
      <c r="G928" s="34" t="n">
        <v>2098.5</v>
      </c>
      <c r="H928" s="33" t="n">
        <v>69</v>
      </c>
      <c r="I928" s="34" t="n">
        <f aca="false">G928*((100-H928)/100)</f>
        <v>650.535</v>
      </c>
      <c r="J928" s="35"/>
      <c r="K928" s="36" t="n">
        <f aca="false">+F928*J928</f>
        <v>0</v>
      </c>
      <c r="L928" s="37" t="n">
        <f aca="false">I928*K928</f>
        <v>0</v>
      </c>
    </row>
    <row r="929" customFormat="false" ht="15" hidden="false" customHeight="false" outlineLevel="0" collapsed="false">
      <c r="A929" s="32" t="s">
        <v>1780</v>
      </c>
      <c r="B929" s="32" t="s">
        <v>23</v>
      </c>
      <c r="C929" s="32" t="s">
        <v>1781</v>
      </c>
      <c r="D929" s="32" t="s">
        <v>25</v>
      </c>
      <c r="E929" s="33" t="n">
        <v>8430942354671</v>
      </c>
      <c r="F929" s="33" t="n">
        <v>1</v>
      </c>
      <c r="G929" s="34" t="n">
        <v>2440.5</v>
      </c>
      <c r="H929" s="33" t="n">
        <v>69</v>
      </c>
      <c r="I929" s="34" t="n">
        <f aca="false">G929*((100-H929)/100)</f>
        <v>756.555</v>
      </c>
      <c r="J929" s="35"/>
      <c r="K929" s="36" t="n">
        <f aca="false">+F929*J929</f>
        <v>0</v>
      </c>
      <c r="L929" s="37" t="n">
        <f aca="false">I929*K929</f>
        <v>0</v>
      </c>
    </row>
    <row r="930" customFormat="false" ht="15" hidden="false" customHeight="false" outlineLevel="0" collapsed="false">
      <c r="A930" s="32" t="s">
        <v>1782</v>
      </c>
      <c r="B930" s="32" t="s">
        <v>23</v>
      </c>
      <c r="C930" s="32" t="s">
        <v>1783</v>
      </c>
      <c r="D930" s="32" t="s">
        <v>25</v>
      </c>
      <c r="E930" s="33" t="n">
        <v>8430942359232</v>
      </c>
      <c r="F930" s="33" t="n">
        <v>1</v>
      </c>
      <c r="G930" s="34" t="n">
        <v>2752.8</v>
      </c>
      <c r="H930" s="33" t="n">
        <v>69</v>
      </c>
      <c r="I930" s="34" t="n">
        <f aca="false">G930*((100-H930)/100)</f>
        <v>853.368</v>
      </c>
      <c r="J930" s="35"/>
      <c r="K930" s="36" t="n">
        <f aca="false">+F930*J930</f>
        <v>0</v>
      </c>
      <c r="L930" s="37" t="n">
        <f aca="false">I930*K930</f>
        <v>0</v>
      </c>
    </row>
    <row r="931" customFormat="false" ht="15" hidden="false" customHeight="false" outlineLevel="0" collapsed="false">
      <c r="A931" s="32" t="s">
        <v>1784</v>
      </c>
      <c r="B931" s="32" t="s">
        <v>23</v>
      </c>
      <c r="C931" s="32" t="s">
        <v>1785</v>
      </c>
      <c r="D931" s="32" t="s">
        <v>25</v>
      </c>
      <c r="E931" s="33" t="n">
        <v>8430942354688</v>
      </c>
      <c r="F931" s="33" t="n">
        <v>1</v>
      </c>
      <c r="G931" s="34" t="n">
        <v>2524.25</v>
      </c>
      <c r="H931" s="33" t="n">
        <v>69</v>
      </c>
      <c r="I931" s="34" t="n">
        <f aca="false">G931*((100-H931)/100)</f>
        <v>782.5175</v>
      </c>
      <c r="J931" s="35"/>
      <c r="K931" s="36" t="n">
        <f aca="false">+F931*J931</f>
        <v>0</v>
      </c>
      <c r="L931" s="37" t="n">
        <f aca="false">I931*K931</f>
        <v>0</v>
      </c>
    </row>
    <row r="932" customFormat="false" ht="15" hidden="false" customHeight="false" outlineLevel="0" collapsed="false">
      <c r="A932" s="32" t="s">
        <v>1786</v>
      </c>
      <c r="B932" s="32" t="s">
        <v>23</v>
      </c>
      <c r="C932" s="32" t="s">
        <v>1787</v>
      </c>
      <c r="D932" s="32" t="s">
        <v>253</v>
      </c>
      <c r="E932" s="33" t="n">
        <v>8430942354756</v>
      </c>
      <c r="F932" s="33" t="n">
        <v>1</v>
      </c>
      <c r="G932" s="34" t="n">
        <v>43.32</v>
      </c>
      <c r="H932" s="33" t="n">
        <v>69</v>
      </c>
      <c r="I932" s="34" t="n">
        <f aca="false">G932*((100-H932)/100)</f>
        <v>13.4292</v>
      </c>
      <c r="J932" s="35"/>
      <c r="K932" s="36" t="n">
        <f aca="false">+F932*J932</f>
        <v>0</v>
      </c>
      <c r="L932" s="37" t="n">
        <f aca="false">I932*K932</f>
        <v>0</v>
      </c>
    </row>
    <row r="933" customFormat="false" ht="15" hidden="false" customHeight="false" outlineLevel="0" collapsed="false">
      <c r="A933" s="32" t="s">
        <v>1788</v>
      </c>
      <c r="B933" s="32" t="s">
        <v>23</v>
      </c>
      <c r="C933" s="32" t="s">
        <v>1789</v>
      </c>
      <c r="D933" s="32" t="s">
        <v>253</v>
      </c>
      <c r="E933" s="33" t="n">
        <v>8430942354763</v>
      </c>
      <c r="F933" s="33" t="n">
        <v>1</v>
      </c>
      <c r="G933" s="34" t="n">
        <v>59.39</v>
      </c>
      <c r="H933" s="33" t="n">
        <v>69</v>
      </c>
      <c r="I933" s="34" t="n">
        <f aca="false">G933*((100-H933)/100)</f>
        <v>18.4109</v>
      </c>
      <c r="J933" s="35"/>
      <c r="K933" s="36" t="n">
        <f aca="false">+F933*J933</f>
        <v>0</v>
      </c>
      <c r="L933" s="37" t="n">
        <f aca="false">I933*K933</f>
        <v>0</v>
      </c>
    </row>
    <row r="934" customFormat="false" ht="15" hidden="false" customHeight="false" outlineLevel="0" collapsed="false">
      <c r="A934" s="32" t="s">
        <v>1790</v>
      </c>
      <c r="B934" s="32" t="s">
        <v>23</v>
      </c>
      <c r="C934" s="32" t="s">
        <v>1791</v>
      </c>
      <c r="D934" s="32" t="s">
        <v>253</v>
      </c>
      <c r="E934" s="33" t="n">
        <v>8430942354770</v>
      </c>
      <c r="F934" s="33" t="n">
        <v>1</v>
      </c>
      <c r="G934" s="34" t="n">
        <v>79.53</v>
      </c>
      <c r="H934" s="33" t="n">
        <v>69</v>
      </c>
      <c r="I934" s="34" t="n">
        <f aca="false">G934*((100-H934)/100)</f>
        <v>24.6543</v>
      </c>
      <c r="J934" s="35"/>
      <c r="K934" s="36" t="n">
        <f aca="false">+F934*J934</f>
        <v>0</v>
      </c>
      <c r="L934" s="37" t="n">
        <f aca="false">I934*K934</f>
        <v>0</v>
      </c>
    </row>
    <row r="935" customFormat="false" ht="15" hidden="false" customHeight="false" outlineLevel="0" collapsed="false">
      <c r="A935" s="32" t="s">
        <v>1792</v>
      </c>
      <c r="B935" s="32" t="s">
        <v>23</v>
      </c>
      <c r="C935" s="32" t="s">
        <v>1793</v>
      </c>
      <c r="D935" s="32" t="s">
        <v>871</v>
      </c>
      <c r="E935" s="33" t="n">
        <v>8430942354725</v>
      </c>
      <c r="F935" s="33" t="n">
        <v>1</v>
      </c>
      <c r="G935" s="34" t="n">
        <v>23.64</v>
      </c>
      <c r="H935" s="33" t="n">
        <v>69</v>
      </c>
      <c r="I935" s="34" t="n">
        <f aca="false">G935*((100-H935)/100)</f>
        <v>7.3284</v>
      </c>
      <c r="J935" s="35"/>
      <c r="K935" s="36" t="n">
        <f aca="false">+F935*J935</f>
        <v>0</v>
      </c>
      <c r="L935" s="37" t="n">
        <f aca="false">I935*K935</f>
        <v>0</v>
      </c>
    </row>
    <row r="936" customFormat="false" ht="15" hidden="false" customHeight="false" outlineLevel="0" collapsed="false">
      <c r="A936" s="32" t="s">
        <v>1794</v>
      </c>
      <c r="B936" s="32" t="s">
        <v>23</v>
      </c>
      <c r="C936" s="32" t="s">
        <v>1795</v>
      </c>
      <c r="D936" s="32" t="s">
        <v>871</v>
      </c>
      <c r="E936" s="33" t="n">
        <v>8430942354732</v>
      </c>
      <c r="F936" s="33" t="n">
        <v>1</v>
      </c>
      <c r="G936" s="34" t="n">
        <v>33.21</v>
      </c>
      <c r="H936" s="33" t="n">
        <v>69</v>
      </c>
      <c r="I936" s="34" t="n">
        <f aca="false">G936*((100-H936)/100)</f>
        <v>10.2951</v>
      </c>
      <c r="J936" s="35"/>
      <c r="K936" s="36" t="n">
        <f aca="false">+F936*J936</f>
        <v>0</v>
      </c>
      <c r="L936" s="37" t="n">
        <f aca="false">I936*K936</f>
        <v>0</v>
      </c>
    </row>
    <row r="937" customFormat="false" ht="15" hidden="false" customHeight="false" outlineLevel="0" collapsed="false">
      <c r="A937" s="32" t="s">
        <v>1796</v>
      </c>
      <c r="B937" s="32" t="s">
        <v>23</v>
      </c>
      <c r="C937" s="32" t="s">
        <v>1797</v>
      </c>
      <c r="D937" s="32" t="s">
        <v>871</v>
      </c>
      <c r="E937" s="33" t="n">
        <v>8430942354749</v>
      </c>
      <c r="F937" s="33" t="n">
        <v>1</v>
      </c>
      <c r="G937" s="34" t="n">
        <v>39.99</v>
      </c>
      <c r="H937" s="33" t="n">
        <v>69</v>
      </c>
      <c r="I937" s="34" t="n">
        <f aca="false">G937*((100-H937)/100)</f>
        <v>12.3969</v>
      </c>
      <c r="J937" s="35"/>
      <c r="K937" s="36" t="n">
        <f aca="false">+F937*J937</f>
        <v>0</v>
      </c>
      <c r="L937" s="37" t="n">
        <f aca="false">I937*K937</f>
        <v>0</v>
      </c>
    </row>
    <row r="938" customFormat="false" ht="15" hidden="false" customHeight="false" outlineLevel="0" collapsed="false">
      <c r="A938" s="32" t="s">
        <v>1798</v>
      </c>
      <c r="B938" s="32" t="s">
        <v>23</v>
      </c>
      <c r="C938" s="32" t="s">
        <v>1799</v>
      </c>
      <c r="D938" s="32" t="s">
        <v>871</v>
      </c>
      <c r="E938" s="33" t="n">
        <v>8430942354695</v>
      </c>
      <c r="F938" s="33" t="n">
        <v>1</v>
      </c>
      <c r="G938" s="34" t="n">
        <v>23.64</v>
      </c>
      <c r="H938" s="33" t="n">
        <v>69</v>
      </c>
      <c r="I938" s="34" t="n">
        <f aca="false">G938*((100-H938)/100)</f>
        <v>7.3284</v>
      </c>
      <c r="J938" s="35"/>
      <c r="K938" s="36" t="n">
        <f aca="false">+F938*J938</f>
        <v>0</v>
      </c>
      <c r="L938" s="37" t="n">
        <f aca="false">I938*K938</f>
        <v>0</v>
      </c>
    </row>
    <row r="939" customFormat="false" ht="15" hidden="false" customHeight="false" outlineLevel="0" collapsed="false">
      <c r="A939" s="32" t="s">
        <v>1800</v>
      </c>
      <c r="B939" s="32" t="s">
        <v>23</v>
      </c>
      <c r="C939" s="32" t="s">
        <v>1801</v>
      </c>
      <c r="D939" s="32" t="s">
        <v>871</v>
      </c>
      <c r="E939" s="33" t="n">
        <v>8430942354701</v>
      </c>
      <c r="F939" s="33" t="n">
        <v>1</v>
      </c>
      <c r="G939" s="34" t="n">
        <v>40</v>
      </c>
      <c r="H939" s="33" t="n">
        <v>69</v>
      </c>
      <c r="I939" s="34" t="n">
        <f aca="false">G939*((100-H939)/100)</f>
        <v>12.4</v>
      </c>
      <c r="J939" s="35"/>
      <c r="K939" s="36" t="n">
        <f aca="false">+F939*J939</f>
        <v>0</v>
      </c>
      <c r="L939" s="37" t="n">
        <f aca="false">I939*K939</f>
        <v>0</v>
      </c>
    </row>
    <row r="940" customFormat="false" ht="15" hidden="false" customHeight="false" outlineLevel="0" collapsed="false">
      <c r="A940" s="32" t="s">
        <v>1802</v>
      </c>
      <c r="B940" s="32" t="s">
        <v>23</v>
      </c>
      <c r="C940" s="32" t="s">
        <v>1803</v>
      </c>
      <c r="D940" s="32" t="s">
        <v>871</v>
      </c>
      <c r="E940" s="33" t="n">
        <v>8430942354718</v>
      </c>
      <c r="F940" s="33" t="n">
        <v>1</v>
      </c>
      <c r="G940" s="34" t="n">
        <v>40</v>
      </c>
      <c r="H940" s="33" t="n">
        <v>69</v>
      </c>
      <c r="I940" s="34" t="n">
        <f aca="false">G940*((100-H940)/100)</f>
        <v>12.4</v>
      </c>
      <c r="J940" s="35"/>
      <c r="K940" s="36" t="n">
        <f aca="false">+F940*J940</f>
        <v>0</v>
      </c>
      <c r="L940" s="37" t="n">
        <f aca="false">I940*K940</f>
        <v>0</v>
      </c>
    </row>
    <row r="941" customFormat="false" ht="15" hidden="false" customHeight="false" outlineLevel="0" collapsed="false">
      <c r="A941" s="32" t="s">
        <v>1804</v>
      </c>
      <c r="B941" s="32" t="s">
        <v>23</v>
      </c>
      <c r="C941" s="32" t="s">
        <v>1805</v>
      </c>
      <c r="D941" s="32" t="s">
        <v>25</v>
      </c>
      <c r="E941" s="33" t="n">
        <v>8430942011659</v>
      </c>
      <c r="F941" s="33" t="n">
        <v>10</v>
      </c>
      <c r="G941" s="34" t="n">
        <v>12.65</v>
      </c>
      <c r="H941" s="33" t="n">
        <v>69</v>
      </c>
      <c r="I941" s="34" t="n">
        <f aca="false">G941*((100-H941)/100)</f>
        <v>3.9215</v>
      </c>
      <c r="J941" s="35"/>
      <c r="K941" s="36" t="n">
        <f aca="false">+F941*J941</f>
        <v>0</v>
      </c>
      <c r="L941" s="37" t="n">
        <f aca="false">I941*K941</f>
        <v>0</v>
      </c>
    </row>
    <row r="942" customFormat="false" ht="15" hidden="false" customHeight="false" outlineLevel="0" collapsed="false">
      <c r="A942" s="32" t="s">
        <v>1806</v>
      </c>
      <c r="B942" s="32" t="s">
        <v>23</v>
      </c>
      <c r="C942" s="32" t="s">
        <v>1807</v>
      </c>
      <c r="D942" s="32" t="s">
        <v>25</v>
      </c>
      <c r="E942" s="33" t="n">
        <v>8430942011673</v>
      </c>
      <c r="F942" s="33" t="n">
        <v>10</v>
      </c>
      <c r="G942" s="34" t="n">
        <v>12.65</v>
      </c>
      <c r="H942" s="33" t="n">
        <v>69</v>
      </c>
      <c r="I942" s="34" t="n">
        <f aca="false">G942*((100-H942)/100)</f>
        <v>3.9215</v>
      </c>
      <c r="J942" s="35"/>
      <c r="K942" s="36" t="n">
        <f aca="false">+F942*J942</f>
        <v>0</v>
      </c>
      <c r="L942" s="37" t="n">
        <f aca="false">I942*K942</f>
        <v>0</v>
      </c>
    </row>
    <row r="943" customFormat="false" ht="15" hidden="false" customHeight="false" outlineLevel="0" collapsed="false">
      <c r="A943" s="38" t="s">
        <v>1808</v>
      </c>
      <c r="B943" s="38" t="n">
        <v>102014</v>
      </c>
      <c r="C943" s="38" t="s">
        <v>1809</v>
      </c>
      <c r="D943" s="38" t="s">
        <v>25</v>
      </c>
      <c r="E943" s="39" t="n">
        <v>8430942011703</v>
      </c>
      <c r="F943" s="39" t="n">
        <v>10</v>
      </c>
      <c r="G943" s="40" t="n">
        <v>12.65</v>
      </c>
      <c r="H943" s="39" t="n">
        <v>69</v>
      </c>
      <c r="I943" s="40" t="n">
        <f aca="false">G943*((100-H943)/100)</f>
        <v>3.9215</v>
      </c>
      <c r="J943" s="41"/>
      <c r="K943" s="42" t="n">
        <f aca="false">+F943*J943</f>
        <v>0</v>
      </c>
      <c r="L943" s="43" t="n">
        <f aca="false">I943*K943</f>
        <v>0</v>
      </c>
    </row>
    <row r="944" customFormat="false" ht="15" hidden="false" customHeight="false" outlineLevel="0" collapsed="false">
      <c r="A944" s="38" t="s">
        <v>1810</v>
      </c>
      <c r="B944" s="38" t="n">
        <v>102016</v>
      </c>
      <c r="C944" s="38" t="s">
        <v>1811</v>
      </c>
      <c r="D944" s="38" t="s">
        <v>25</v>
      </c>
      <c r="E944" s="39" t="n">
        <v>8430942011734</v>
      </c>
      <c r="F944" s="39" t="n">
        <v>10</v>
      </c>
      <c r="G944" s="40" t="n">
        <v>13.31</v>
      </c>
      <c r="H944" s="39" t="n">
        <v>69</v>
      </c>
      <c r="I944" s="40" t="n">
        <f aca="false">G944*((100-H944)/100)</f>
        <v>4.1261</v>
      </c>
      <c r="J944" s="41"/>
      <c r="K944" s="42" t="n">
        <f aca="false">+F944*J944</f>
        <v>0</v>
      </c>
      <c r="L944" s="43" t="n">
        <f aca="false">I944*K944</f>
        <v>0</v>
      </c>
    </row>
    <row r="945" customFormat="false" ht="15" hidden="false" customHeight="false" outlineLevel="0" collapsed="false">
      <c r="A945" s="38" t="s">
        <v>1812</v>
      </c>
      <c r="B945" s="38" t="n">
        <v>102017</v>
      </c>
      <c r="C945" s="38" t="s">
        <v>1813</v>
      </c>
      <c r="D945" s="38" t="s">
        <v>25</v>
      </c>
      <c r="E945" s="39" t="n">
        <v>8430942011772</v>
      </c>
      <c r="F945" s="39" t="n">
        <v>10</v>
      </c>
      <c r="G945" s="40" t="n">
        <v>14.31</v>
      </c>
      <c r="H945" s="39" t="n">
        <v>69</v>
      </c>
      <c r="I945" s="40" t="n">
        <f aca="false">G945*((100-H945)/100)</f>
        <v>4.4361</v>
      </c>
      <c r="J945" s="41"/>
      <c r="K945" s="42" t="n">
        <f aca="false">+F945*J945</f>
        <v>0</v>
      </c>
      <c r="L945" s="43" t="n">
        <f aca="false">I945*K945</f>
        <v>0</v>
      </c>
    </row>
    <row r="946" customFormat="false" ht="15" hidden="false" customHeight="false" outlineLevel="0" collapsed="false">
      <c r="A946" s="32" t="s">
        <v>1814</v>
      </c>
      <c r="B946" s="32" t="s">
        <v>23</v>
      </c>
      <c r="C946" s="32" t="s">
        <v>1815</v>
      </c>
      <c r="D946" s="32" t="s">
        <v>25</v>
      </c>
      <c r="E946" s="33" t="n">
        <v>8430942011802</v>
      </c>
      <c r="F946" s="33" t="n">
        <v>10</v>
      </c>
      <c r="G946" s="34" t="n">
        <v>15</v>
      </c>
      <c r="H946" s="33" t="n">
        <v>69</v>
      </c>
      <c r="I946" s="34" t="n">
        <f aca="false">G946*((100-H946)/100)</f>
        <v>4.65</v>
      </c>
      <c r="J946" s="35"/>
      <c r="K946" s="36" t="n">
        <f aca="false">+F946*J946</f>
        <v>0</v>
      </c>
      <c r="L946" s="37" t="n">
        <f aca="false">I946*K946</f>
        <v>0</v>
      </c>
    </row>
    <row r="947" customFormat="false" ht="15" hidden="false" customHeight="false" outlineLevel="0" collapsed="false">
      <c r="A947" s="32" t="s">
        <v>1816</v>
      </c>
      <c r="B947" s="32" t="s">
        <v>23</v>
      </c>
      <c r="C947" s="32" t="s">
        <v>1817</v>
      </c>
      <c r="D947" s="32" t="s">
        <v>25</v>
      </c>
      <c r="E947" s="33" t="n">
        <v>8430942011833</v>
      </c>
      <c r="F947" s="33" t="n">
        <v>10</v>
      </c>
      <c r="G947" s="34" t="n">
        <v>15.7</v>
      </c>
      <c r="H947" s="33" t="n">
        <v>69</v>
      </c>
      <c r="I947" s="34" t="n">
        <f aca="false">G947*((100-H947)/100)</f>
        <v>4.867</v>
      </c>
      <c r="J947" s="35"/>
      <c r="K947" s="36" t="n">
        <f aca="false">+F947*J947</f>
        <v>0</v>
      </c>
      <c r="L947" s="37" t="n">
        <f aca="false">I947*K947</f>
        <v>0</v>
      </c>
    </row>
    <row r="948" customFormat="false" ht="15" hidden="false" customHeight="false" outlineLevel="0" collapsed="false">
      <c r="A948" s="32" t="s">
        <v>1818</v>
      </c>
      <c r="B948" s="32" t="s">
        <v>23</v>
      </c>
      <c r="C948" s="32" t="s">
        <v>1819</v>
      </c>
      <c r="D948" s="32" t="s">
        <v>25</v>
      </c>
      <c r="E948" s="33" t="n">
        <v>8430942011871</v>
      </c>
      <c r="F948" s="33" t="n">
        <v>10</v>
      </c>
      <c r="G948" s="34" t="n">
        <v>16.4</v>
      </c>
      <c r="H948" s="33" t="n">
        <v>69</v>
      </c>
      <c r="I948" s="34" t="n">
        <f aca="false">G948*((100-H948)/100)</f>
        <v>5.084</v>
      </c>
      <c r="J948" s="35"/>
      <c r="K948" s="36" t="n">
        <f aca="false">+F948*J948</f>
        <v>0</v>
      </c>
      <c r="L948" s="37" t="n">
        <f aca="false">I948*K948</f>
        <v>0</v>
      </c>
    </row>
    <row r="949" customFormat="false" ht="15" hidden="false" customHeight="false" outlineLevel="0" collapsed="false">
      <c r="A949" s="38" t="s">
        <v>1820</v>
      </c>
      <c r="B949" s="38" t="n">
        <v>102018</v>
      </c>
      <c r="C949" s="38" t="s">
        <v>1821</v>
      </c>
      <c r="D949" s="38" t="s">
        <v>25</v>
      </c>
      <c r="E949" s="39" t="n">
        <v>8430942011901</v>
      </c>
      <c r="F949" s="39" t="n">
        <v>10</v>
      </c>
      <c r="G949" s="40" t="n">
        <v>16.9</v>
      </c>
      <c r="H949" s="39" t="n">
        <v>69</v>
      </c>
      <c r="I949" s="40" t="n">
        <f aca="false">G949*((100-H949)/100)</f>
        <v>5.239</v>
      </c>
      <c r="J949" s="41"/>
      <c r="K949" s="42" t="n">
        <f aca="false">+F949*J949</f>
        <v>0</v>
      </c>
      <c r="L949" s="43" t="n">
        <f aca="false">I949*K949</f>
        <v>0</v>
      </c>
    </row>
    <row r="950" customFormat="false" ht="15" hidden="false" customHeight="false" outlineLevel="0" collapsed="false">
      <c r="A950" s="32" t="s">
        <v>1822</v>
      </c>
      <c r="B950" s="32" t="s">
        <v>23</v>
      </c>
      <c r="C950" s="32" t="s">
        <v>1823</v>
      </c>
      <c r="D950" s="32" t="s">
        <v>25</v>
      </c>
      <c r="E950" s="33" t="n">
        <v>8430942011710</v>
      </c>
      <c r="F950" s="33" t="n">
        <v>10</v>
      </c>
      <c r="G950" s="34" t="n">
        <v>18.38</v>
      </c>
      <c r="H950" s="33" t="n">
        <v>69</v>
      </c>
      <c r="I950" s="34" t="n">
        <f aca="false">G950*((100-H950)/100)</f>
        <v>5.6978</v>
      </c>
      <c r="J950" s="35"/>
      <c r="K950" s="36" t="n">
        <f aca="false">+F950*J950</f>
        <v>0</v>
      </c>
      <c r="L950" s="37" t="n">
        <f aca="false">I950*K950</f>
        <v>0</v>
      </c>
    </row>
    <row r="951" customFormat="false" ht="15" hidden="false" customHeight="false" outlineLevel="0" collapsed="false">
      <c r="A951" s="32" t="s">
        <v>1824</v>
      </c>
      <c r="B951" s="32" t="s">
        <v>23</v>
      </c>
      <c r="C951" s="32" t="s">
        <v>1825</v>
      </c>
      <c r="D951" s="32" t="s">
        <v>25</v>
      </c>
      <c r="E951" s="33" t="n">
        <v>8430942011758</v>
      </c>
      <c r="F951" s="33" t="n">
        <v>10</v>
      </c>
      <c r="G951" s="34" t="n">
        <v>19.62</v>
      </c>
      <c r="H951" s="33" t="n">
        <v>69</v>
      </c>
      <c r="I951" s="34" t="n">
        <f aca="false">G951*((100-H951)/100)</f>
        <v>6.0822</v>
      </c>
      <c r="J951" s="35"/>
      <c r="K951" s="36" t="n">
        <f aca="false">+F951*J951</f>
        <v>0</v>
      </c>
      <c r="L951" s="37" t="n">
        <f aca="false">I951*K951</f>
        <v>0</v>
      </c>
    </row>
    <row r="952" customFormat="false" ht="15" hidden="false" customHeight="false" outlineLevel="0" collapsed="false">
      <c r="A952" s="32" t="s">
        <v>1826</v>
      </c>
      <c r="B952" s="32" t="s">
        <v>23</v>
      </c>
      <c r="C952" s="32" t="s">
        <v>1827</v>
      </c>
      <c r="D952" s="32" t="s">
        <v>25</v>
      </c>
      <c r="E952" s="33" t="n">
        <v>8430942011796</v>
      </c>
      <c r="F952" s="33" t="n">
        <v>10</v>
      </c>
      <c r="G952" s="34" t="n">
        <v>20.96</v>
      </c>
      <c r="H952" s="33" t="n">
        <v>69</v>
      </c>
      <c r="I952" s="34" t="n">
        <f aca="false">G952*((100-H952)/100)</f>
        <v>6.4976</v>
      </c>
      <c r="J952" s="35"/>
      <c r="K952" s="36" t="n">
        <f aca="false">+F952*J952</f>
        <v>0</v>
      </c>
      <c r="L952" s="37" t="n">
        <f aca="false">I952*K952</f>
        <v>0</v>
      </c>
    </row>
    <row r="953" customFormat="false" ht="15" hidden="false" customHeight="false" outlineLevel="0" collapsed="false">
      <c r="A953" s="32" t="s">
        <v>1828</v>
      </c>
      <c r="B953" s="32" t="s">
        <v>23</v>
      </c>
      <c r="C953" s="32" t="s">
        <v>1829</v>
      </c>
      <c r="D953" s="32" t="s">
        <v>25</v>
      </c>
      <c r="E953" s="33" t="n">
        <v>8430942011826</v>
      </c>
      <c r="F953" s="33" t="n">
        <v>10</v>
      </c>
      <c r="G953" s="34" t="n">
        <v>21.54</v>
      </c>
      <c r="H953" s="33" t="n">
        <v>69</v>
      </c>
      <c r="I953" s="34" t="n">
        <f aca="false">G953*((100-H953)/100)</f>
        <v>6.6774</v>
      </c>
      <c r="J953" s="35"/>
      <c r="K953" s="36" t="n">
        <f aca="false">+F953*J953</f>
        <v>0</v>
      </c>
      <c r="L953" s="37" t="n">
        <f aca="false">I953*K953</f>
        <v>0</v>
      </c>
    </row>
    <row r="954" customFormat="false" ht="15" hidden="false" customHeight="false" outlineLevel="0" collapsed="false">
      <c r="A954" s="32" t="s">
        <v>1830</v>
      </c>
      <c r="B954" s="32" t="s">
        <v>23</v>
      </c>
      <c r="C954" s="32" t="s">
        <v>1831</v>
      </c>
      <c r="D954" s="32" t="s">
        <v>25</v>
      </c>
      <c r="E954" s="33" t="n">
        <v>8430942011918</v>
      </c>
      <c r="F954" s="33" t="n">
        <v>10</v>
      </c>
      <c r="G954" s="34" t="n">
        <v>25.65</v>
      </c>
      <c r="H954" s="33" t="n">
        <v>69</v>
      </c>
      <c r="I954" s="34" t="n">
        <f aca="false">G954*((100-H954)/100)</f>
        <v>7.9515</v>
      </c>
      <c r="J954" s="35"/>
      <c r="K954" s="36" t="n">
        <f aca="false">+F954*J954</f>
        <v>0</v>
      </c>
      <c r="L954" s="37" t="n">
        <f aca="false">I954*K954</f>
        <v>0</v>
      </c>
    </row>
    <row r="955" customFormat="false" ht="15" hidden="false" customHeight="false" outlineLevel="0" collapsed="false">
      <c r="A955" s="32" t="s">
        <v>1832</v>
      </c>
      <c r="B955" s="32" t="s">
        <v>23</v>
      </c>
      <c r="C955" s="32" t="s">
        <v>1833</v>
      </c>
      <c r="D955" s="32" t="s">
        <v>25</v>
      </c>
      <c r="E955" s="33" t="n">
        <v>8430942011970</v>
      </c>
      <c r="F955" s="33" t="n">
        <v>10</v>
      </c>
      <c r="G955" s="34" t="n">
        <v>28.69</v>
      </c>
      <c r="H955" s="33" t="n">
        <v>69</v>
      </c>
      <c r="I955" s="34" t="n">
        <f aca="false">G955*((100-H955)/100)</f>
        <v>8.8939</v>
      </c>
      <c r="J955" s="35"/>
      <c r="K955" s="36" t="n">
        <f aca="false">+F955*J955</f>
        <v>0</v>
      </c>
      <c r="L955" s="37" t="n">
        <f aca="false">I955*K955</f>
        <v>0</v>
      </c>
    </row>
    <row r="956" customFormat="false" ht="15" hidden="false" customHeight="false" outlineLevel="0" collapsed="false">
      <c r="A956" s="32" t="s">
        <v>1834</v>
      </c>
      <c r="B956" s="32" t="s">
        <v>23</v>
      </c>
      <c r="C956" s="32" t="s">
        <v>1835</v>
      </c>
      <c r="D956" s="32" t="s">
        <v>25</v>
      </c>
      <c r="E956" s="33" t="n">
        <v>8430942011994</v>
      </c>
      <c r="F956" s="33" t="n">
        <v>10</v>
      </c>
      <c r="G956" s="34" t="n">
        <v>29.81</v>
      </c>
      <c r="H956" s="33" t="n">
        <v>69</v>
      </c>
      <c r="I956" s="34" t="n">
        <f aca="false">G956*((100-H956)/100)</f>
        <v>9.2411</v>
      </c>
      <c r="J956" s="35"/>
      <c r="K956" s="36" t="n">
        <f aca="false">+F956*J956</f>
        <v>0</v>
      </c>
      <c r="L956" s="37" t="n">
        <f aca="false">I956*K956</f>
        <v>0</v>
      </c>
    </row>
    <row r="957" customFormat="false" ht="15" hidden="false" customHeight="false" outlineLevel="0" collapsed="false">
      <c r="A957" s="38" t="s">
        <v>1836</v>
      </c>
      <c r="B957" s="38" t="n">
        <v>102019</v>
      </c>
      <c r="C957" s="38" t="s">
        <v>1837</v>
      </c>
      <c r="D957" s="38" t="s">
        <v>25</v>
      </c>
      <c r="E957" s="39" t="n">
        <v>8430942012021</v>
      </c>
      <c r="F957" s="39" t="n">
        <v>10</v>
      </c>
      <c r="G957" s="40" t="n">
        <v>31.2</v>
      </c>
      <c r="H957" s="39" t="n">
        <v>69</v>
      </c>
      <c r="I957" s="40" t="n">
        <f aca="false">G957*((100-H957)/100)</f>
        <v>9.672</v>
      </c>
      <c r="J957" s="41"/>
      <c r="K957" s="42" t="n">
        <f aca="false">+F957*J957</f>
        <v>0</v>
      </c>
      <c r="L957" s="43" t="n">
        <f aca="false">I957*K957</f>
        <v>0</v>
      </c>
    </row>
    <row r="958" customFormat="false" ht="15" hidden="false" customHeight="false" outlineLevel="0" collapsed="false">
      <c r="A958" s="32" t="s">
        <v>1838</v>
      </c>
      <c r="B958" s="32" t="s">
        <v>23</v>
      </c>
      <c r="C958" s="32" t="s">
        <v>1839</v>
      </c>
      <c r="D958" s="32" t="s">
        <v>25</v>
      </c>
      <c r="E958" s="33" t="n">
        <v>8430942012083</v>
      </c>
      <c r="F958" s="33" t="n">
        <v>10</v>
      </c>
      <c r="G958" s="34" t="n">
        <v>38.85</v>
      </c>
      <c r="H958" s="33" t="n">
        <v>69</v>
      </c>
      <c r="I958" s="34" t="n">
        <f aca="false">G958*((100-H958)/100)</f>
        <v>12.0435</v>
      </c>
      <c r="J958" s="35"/>
      <c r="K958" s="36" t="n">
        <f aca="false">+F958*J958</f>
        <v>0</v>
      </c>
      <c r="L958" s="37" t="n">
        <f aca="false">I958*K958</f>
        <v>0</v>
      </c>
    </row>
    <row r="959" customFormat="false" ht="15" hidden="false" customHeight="false" outlineLevel="0" collapsed="false">
      <c r="A959" s="32" t="s">
        <v>1840</v>
      </c>
      <c r="B959" s="32" t="s">
        <v>23</v>
      </c>
      <c r="C959" s="32" t="s">
        <v>1841</v>
      </c>
      <c r="D959" s="32" t="s">
        <v>25</v>
      </c>
      <c r="E959" s="33" t="n">
        <v>8430942012113</v>
      </c>
      <c r="F959" s="33" t="n">
        <v>10</v>
      </c>
      <c r="G959" s="34" t="n">
        <v>46.5</v>
      </c>
      <c r="H959" s="33" t="n">
        <v>69</v>
      </c>
      <c r="I959" s="34" t="n">
        <f aca="false">G959*((100-H959)/100)</f>
        <v>14.415</v>
      </c>
      <c r="J959" s="35"/>
      <c r="K959" s="36" t="n">
        <f aca="false">+F959*J959</f>
        <v>0</v>
      </c>
      <c r="L959" s="37" t="n">
        <f aca="false">I959*K959</f>
        <v>0</v>
      </c>
    </row>
    <row r="960" customFormat="false" ht="15" hidden="false" customHeight="false" outlineLevel="0" collapsed="false">
      <c r="A960" s="32" t="s">
        <v>1842</v>
      </c>
      <c r="B960" s="32" t="s">
        <v>23</v>
      </c>
      <c r="C960" s="32" t="s">
        <v>1843</v>
      </c>
      <c r="D960" s="32" t="s">
        <v>25</v>
      </c>
      <c r="E960" s="33" t="n">
        <v>8430942040130</v>
      </c>
      <c r="F960" s="33" t="n">
        <v>10</v>
      </c>
      <c r="G960" s="34" t="n">
        <v>68.09</v>
      </c>
      <c r="H960" s="33" t="n">
        <v>69</v>
      </c>
      <c r="I960" s="34" t="n">
        <f aca="false">G960*((100-H960)/100)</f>
        <v>21.1079</v>
      </c>
      <c r="J960" s="35"/>
      <c r="K960" s="36" t="n">
        <f aca="false">+F960*J960</f>
        <v>0</v>
      </c>
      <c r="L960" s="37" t="n">
        <f aca="false">I960*K960</f>
        <v>0</v>
      </c>
    </row>
    <row r="961" customFormat="false" ht="15" hidden="false" customHeight="false" outlineLevel="0" collapsed="false">
      <c r="A961" s="32" t="s">
        <v>1844</v>
      </c>
      <c r="B961" s="32" t="s">
        <v>23</v>
      </c>
      <c r="C961" s="32" t="s">
        <v>1845</v>
      </c>
      <c r="D961" s="32" t="s">
        <v>25</v>
      </c>
      <c r="E961" s="33" t="n">
        <v>8430942040147</v>
      </c>
      <c r="F961" s="33" t="n">
        <v>10</v>
      </c>
      <c r="G961" s="34" t="n">
        <v>79.6</v>
      </c>
      <c r="H961" s="33" t="n">
        <v>69</v>
      </c>
      <c r="I961" s="34" t="n">
        <f aca="false">G961*((100-H961)/100)</f>
        <v>24.676</v>
      </c>
      <c r="J961" s="35"/>
      <c r="K961" s="36" t="n">
        <f aca="false">+F961*J961</f>
        <v>0</v>
      </c>
      <c r="L961" s="37" t="n">
        <f aca="false">I961*K961</f>
        <v>0</v>
      </c>
    </row>
    <row r="962" customFormat="false" ht="15" hidden="false" customHeight="false" outlineLevel="0" collapsed="false">
      <c r="A962" s="32" t="s">
        <v>1846</v>
      </c>
      <c r="B962" s="32" t="s">
        <v>23</v>
      </c>
      <c r="C962" s="32" t="s">
        <v>1847</v>
      </c>
      <c r="D962" s="32" t="s">
        <v>25</v>
      </c>
      <c r="E962" s="33" t="n">
        <v>8430942022082</v>
      </c>
      <c r="F962" s="33" t="n">
        <v>10</v>
      </c>
      <c r="G962" s="34" t="n">
        <v>98.1</v>
      </c>
      <c r="H962" s="33" t="n">
        <v>69</v>
      </c>
      <c r="I962" s="34" t="n">
        <f aca="false">G962*((100-H962)/100)</f>
        <v>30.411</v>
      </c>
      <c r="J962" s="35"/>
      <c r="K962" s="36" t="n">
        <f aca="false">+F962*J962</f>
        <v>0</v>
      </c>
      <c r="L962" s="37" t="n">
        <f aca="false">I962*K962</f>
        <v>0</v>
      </c>
    </row>
    <row r="963" customFormat="false" ht="15" hidden="false" customHeight="false" outlineLevel="0" collapsed="false">
      <c r="A963" s="32" t="s">
        <v>1848</v>
      </c>
      <c r="B963" s="32" t="s">
        <v>23</v>
      </c>
      <c r="C963" s="32" t="s">
        <v>1849</v>
      </c>
      <c r="D963" s="32" t="s">
        <v>25</v>
      </c>
      <c r="E963" s="33" t="n">
        <v>8430942011284</v>
      </c>
      <c r="F963" s="33" t="n">
        <v>10</v>
      </c>
      <c r="G963" s="34" t="n">
        <v>31.54</v>
      </c>
      <c r="H963" s="33" t="n">
        <v>69</v>
      </c>
      <c r="I963" s="34" t="n">
        <f aca="false">G963*((100-H963)/100)</f>
        <v>9.7774</v>
      </c>
      <c r="J963" s="35"/>
      <c r="K963" s="36" t="n">
        <f aca="false">+F963*J963</f>
        <v>0</v>
      </c>
      <c r="L963" s="37" t="n">
        <f aca="false">I963*K963</f>
        <v>0</v>
      </c>
    </row>
    <row r="964" customFormat="false" ht="15" hidden="false" customHeight="false" outlineLevel="0" collapsed="false">
      <c r="A964" s="32" t="s">
        <v>1850</v>
      </c>
      <c r="B964" s="32" t="s">
        <v>23</v>
      </c>
      <c r="C964" s="32" t="s">
        <v>1851</v>
      </c>
      <c r="D964" s="32" t="s">
        <v>25</v>
      </c>
      <c r="E964" s="33" t="n">
        <v>8430942011338</v>
      </c>
      <c r="F964" s="33" t="n">
        <v>10</v>
      </c>
      <c r="G964" s="34" t="n">
        <v>36.9</v>
      </c>
      <c r="H964" s="33" t="n">
        <v>69</v>
      </c>
      <c r="I964" s="34" t="n">
        <f aca="false">G964*((100-H964)/100)</f>
        <v>11.439</v>
      </c>
      <c r="J964" s="35"/>
      <c r="K964" s="36" t="n">
        <f aca="false">+F964*J964</f>
        <v>0</v>
      </c>
      <c r="L964" s="37" t="n">
        <f aca="false">I964*K964</f>
        <v>0</v>
      </c>
    </row>
    <row r="965" customFormat="false" ht="15" hidden="false" customHeight="false" outlineLevel="0" collapsed="false">
      <c r="A965" s="32" t="s">
        <v>1852</v>
      </c>
      <c r="B965" s="32" t="s">
        <v>23</v>
      </c>
      <c r="C965" s="32" t="s">
        <v>1853</v>
      </c>
      <c r="D965" s="32" t="s">
        <v>25</v>
      </c>
      <c r="E965" s="33" t="n">
        <v>8430942011376</v>
      </c>
      <c r="F965" s="33" t="n">
        <v>10</v>
      </c>
      <c r="G965" s="34" t="n">
        <v>40.96</v>
      </c>
      <c r="H965" s="33" t="n">
        <v>69</v>
      </c>
      <c r="I965" s="34" t="n">
        <f aca="false">G965*((100-H965)/100)</f>
        <v>12.6976</v>
      </c>
      <c r="J965" s="35"/>
      <c r="K965" s="36" t="n">
        <f aca="false">+F965*J965</f>
        <v>0</v>
      </c>
      <c r="L965" s="37" t="n">
        <f aca="false">I965*K965</f>
        <v>0</v>
      </c>
    </row>
    <row r="966" customFormat="false" ht="15" hidden="false" customHeight="false" outlineLevel="0" collapsed="false">
      <c r="A966" s="32" t="s">
        <v>1854</v>
      </c>
      <c r="B966" s="32" t="s">
        <v>23</v>
      </c>
      <c r="C966" s="32" t="s">
        <v>1855</v>
      </c>
      <c r="D966" s="32" t="s">
        <v>25</v>
      </c>
      <c r="E966" s="33" t="n">
        <v>8430942011420</v>
      </c>
      <c r="F966" s="33" t="n">
        <v>10</v>
      </c>
      <c r="G966" s="34" t="n">
        <v>49.23</v>
      </c>
      <c r="H966" s="33" t="n">
        <v>69</v>
      </c>
      <c r="I966" s="34" t="n">
        <f aca="false">G966*((100-H966)/100)</f>
        <v>15.2613</v>
      </c>
      <c r="J966" s="35"/>
      <c r="K966" s="36" t="n">
        <f aca="false">+F966*J966</f>
        <v>0</v>
      </c>
      <c r="L966" s="37" t="n">
        <f aca="false">I966*K966</f>
        <v>0</v>
      </c>
    </row>
    <row r="967" customFormat="false" ht="15" hidden="false" customHeight="false" outlineLevel="0" collapsed="false">
      <c r="A967" s="32" t="s">
        <v>1856</v>
      </c>
      <c r="B967" s="32" t="s">
        <v>23</v>
      </c>
      <c r="C967" s="32" t="s">
        <v>1857</v>
      </c>
      <c r="D967" s="32" t="s">
        <v>25</v>
      </c>
      <c r="E967" s="33" t="n">
        <v>8430942011444</v>
      </c>
      <c r="F967" s="33" t="n">
        <v>10</v>
      </c>
      <c r="G967" s="34" t="n">
        <v>64.42</v>
      </c>
      <c r="H967" s="33" t="n">
        <v>69</v>
      </c>
      <c r="I967" s="34" t="n">
        <f aca="false">G967*((100-H967)/100)</f>
        <v>19.9702</v>
      </c>
      <c r="J967" s="35"/>
      <c r="K967" s="36" t="n">
        <f aca="false">+F967*J967</f>
        <v>0</v>
      </c>
      <c r="L967" s="37" t="n">
        <f aca="false">I967*K967</f>
        <v>0</v>
      </c>
    </row>
    <row r="968" customFormat="false" ht="15" hidden="false" customHeight="false" outlineLevel="0" collapsed="false">
      <c r="A968" s="32" t="s">
        <v>1858</v>
      </c>
      <c r="B968" s="32" t="s">
        <v>23</v>
      </c>
      <c r="C968" s="32" t="s">
        <v>1859</v>
      </c>
      <c r="D968" s="32" t="s">
        <v>62</v>
      </c>
      <c r="E968" s="33" t="n">
        <v>8430942012175</v>
      </c>
      <c r="F968" s="33" t="n">
        <v>10</v>
      </c>
      <c r="G968" s="34" t="n">
        <v>33.05</v>
      </c>
      <c r="H968" s="33" t="n">
        <v>69</v>
      </c>
      <c r="I968" s="34" t="n">
        <f aca="false">G968*((100-H968)/100)</f>
        <v>10.2455</v>
      </c>
      <c r="J968" s="35"/>
      <c r="K968" s="36" t="n">
        <f aca="false">+F968*J968</f>
        <v>0</v>
      </c>
      <c r="L968" s="37" t="n">
        <f aca="false">I968*K968</f>
        <v>0</v>
      </c>
    </row>
    <row r="969" customFormat="false" ht="15" hidden="false" customHeight="false" outlineLevel="0" collapsed="false">
      <c r="A969" s="32" t="s">
        <v>1860</v>
      </c>
      <c r="B969" s="32" t="s">
        <v>23</v>
      </c>
      <c r="C969" s="32" t="s">
        <v>1861</v>
      </c>
      <c r="D969" s="32" t="s">
        <v>62</v>
      </c>
      <c r="E969" s="33" t="n">
        <v>8430942333270</v>
      </c>
      <c r="F969" s="33" t="n">
        <v>10</v>
      </c>
      <c r="G969" s="34" t="n">
        <v>33.05</v>
      </c>
      <c r="H969" s="33" t="n">
        <v>69</v>
      </c>
      <c r="I969" s="34" t="n">
        <f aca="false">G969*((100-H969)/100)</f>
        <v>10.2455</v>
      </c>
      <c r="J969" s="35"/>
      <c r="K969" s="36" t="n">
        <f aca="false">+F969*J969</f>
        <v>0</v>
      </c>
      <c r="L969" s="37" t="n">
        <f aca="false">I969*K969</f>
        <v>0</v>
      </c>
    </row>
    <row r="970" customFormat="false" ht="15" hidden="false" customHeight="false" outlineLevel="0" collapsed="false">
      <c r="A970" s="32" t="s">
        <v>1862</v>
      </c>
      <c r="B970" s="32" t="s">
        <v>23</v>
      </c>
      <c r="C970" s="32" t="s">
        <v>1863</v>
      </c>
      <c r="D970" s="32" t="s">
        <v>62</v>
      </c>
      <c r="E970" s="33" t="n">
        <v>8430942012212</v>
      </c>
      <c r="F970" s="33" t="n">
        <v>10</v>
      </c>
      <c r="G970" s="34" t="n">
        <v>34.26</v>
      </c>
      <c r="H970" s="33" t="n">
        <v>69</v>
      </c>
      <c r="I970" s="34" t="n">
        <f aca="false">G970*((100-H970)/100)</f>
        <v>10.6206</v>
      </c>
      <c r="J970" s="35"/>
      <c r="K970" s="36" t="n">
        <f aca="false">+F970*J970</f>
        <v>0</v>
      </c>
      <c r="L970" s="37" t="n">
        <f aca="false">I970*K970</f>
        <v>0</v>
      </c>
    </row>
    <row r="971" customFormat="false" ht="15" hidden="false" customHeight="false" outlineLevel="0" collapsed="false">
      <c r="A971" s="32" t="s">
        <v>1864</v>
      </c>
      <c r="B971" s="32" t="s">
        <v>23</v>
      </c>
      <c r="C971" s="32" t="s">
        <v>1865</v>
      </c>
      <c r="D971" s="32" t="s">
        <v>62</v>
      </c>
      <c r="E971" s="33" t="n">
        <v>8430942012236</v>
      </c>
      <c r="F971" s="33" t="n">
        <v>10</v>
      </c>
      <c r="G971" s="34" t="n">
        <v>36.14</v>
      </c>
      <c r="H971" s="33" t="n">
        <v>69</v>
      </c>
      <c r="I971" s="34" t="n">
        <f aca="false">G971*((100-H971)/100)</f>
        <v>11.2034</v>
      </c>
      <c r="J971" s="35"/>
      <c r="K971" s="36" t="n">
        <f aca="false">+F971*J971</f>
        <v>0</v>
      </c>
      <c r="L971" s="37" t="n">
        <f aca="false">I971*K971</f>
        <v>0</v>
      </c>
    </row>
    <row r="972" customFormat="false" ht="15" hidden="false" customHeight="false" outlineLevel="0" collapsed="false">
      <c r="A972" s="32" t="s">
        <v>1866</v>
      </c>
      <c r="B972" s="32" t="s">
        <v>23</v>
      </c>
      <c r="C972" s="32" t="s">
        <v>1867</v>
      </c>
      <c r="D972" s="32" t="s">
        <v>62</v>
      </c>
      <c r="E972" s="33" t="n">
        <v>8430942012250</v>
      </c>
      <c r="F972" s="33" t="n">
        <v>10</v>
      </c>
      <c r="G972" s="34" t="n">
        <v>37.92</v>
      </c>
      <c r="H972" s="33" t="n">
        <v>69</v>
      </c>
      <c r="I972" s="34" t="n">
        <f aca="false">G972*((100-H972)/100)</f>
        <v>11.7552</v>
      </c>
      <c r="J972" s="35"/>
      <c r="K972" s="36" t="n">
        <f aca="false">+F972*J972</f>
        <v>0</v>
      </c>
      <c r="L972" s="37" t="n">
        <f aca="false">I972*K972</f>
        <v>0</v>
      </c>
    </row>
    <row r="973" customFormat="false" ht="15" hidden="false" customHeight="false" outlineLevel="0" collapsed="false">
      <c r="A973" s="32" t="s">
        <v>1868</v>
      </c>
      <c r="B973" s="32" t="s">
        <v>23</v>
      </c>
      <c r="C973" s="32" t="s">
        <v>1869</v>
      </c>
      <c r="D973" s="32" t="s">
        <v>62</v>
      </c>
      <c r="E973" s="33" t="n">
        <v>8430942012267</v>
      </c>
      <c r="F973" s="33" t="n">
        <v>10</v>
      </c>
      <c r="G973" s="34" t="n">
        <v>38.71</v>
      </c>
      <c r="H973" s="33" t="n">
        <v>69</v>
      </c>
      <c r="I973" s="34" t="n">
        <f aca="false">G973*((100-H973)/100)</f>
        <v>12.0001</v>
      </c>
      <c r="J973" s="35"/>
      <c r="K973" s="36" t="n">
        <f aca="false">+F973*J973</f>
        <v>0</v>
      </c>
      <c r="L973" s="37" t="n">
        <f aca="false">I973*K973</f>
        <v>0</v>
      </c>
    </row>
    <row r="974" customFormat="false" ht="15" hidden="false" customHeight="false" outlineLevel="0" collapsed="false">
      <c r="A974" s="32" t="s">
        <v>1870</v>
      </c>
      <c r="B974" s="32" t="s">
        <v>23</v>
      </c>
      <c r="C974" s="32" t="s">
        <v>1871</v>
      </c>
      <c r="D974" s="32" t="s">
        <v>62</v>
      </c>
      <c r="E974" s="33" t="n">
        <v>8430942012298</v>
      </c>
      <c r="F974" s="33" t="n">
        <v>10</v>
      </c>
      <c r="G974" s="34" t="n">
        <v>47.89</v>
      </c>
      <c r="H974" s="33" t="n">
        <v>69</v>
      </c>
      <c r="I974" s="34" t="n">
        <f aca="false">G974*((100-H974)/100)</f>
        <v>14.8459</v>
      </c>
      <c r="J974" s="35"/>
      <c r="K974" s="36" t="n">
        <f aca="false">+F974*J974</f>
        <v>0</v>
      </c>
      <c r="L974" s="37" t="n">
        <f aca="false">I974*K974</f>
        <v>0</v>
      </c>
    </row>
    <row r="975" customFormat="false" ht="15" hidden="false" customHeight="false" outlineLevel="0" collapsed="false">
      <c r="A975" s="32" t="s">
        <v>1872</v>
      </c>
      <c r="B975" s="32" t="s">
        <v>23</v>
      </c>
      <c r="C975" s="32" t="s">
        <v>1873</v>
      </c>
      <c r="D975" s="32" t="s">
        <v>100</v>
      </c>
      <c r="E975" s="33" t="n">
        <v>8430942312701</v>
      </c>
      <c r="F975" s="33" t="n">
        <v>1</v>
      </c>
      <c r="G975" s="34" t="n">
        <v>48.42</v>
      </c>
      <c r="H975" s="33" t="n">
        <v>69</v>
      </c>
      <c r="I975" s="34" t="n">
        <f aca="false">G975*((100-H975)/100)</f>
        <v>15.0102</v>
      </c>
      <c r="J975" s="35"/>
      <c r="K975" s="36" t="n">
        <f aca="false">+F975*J975</f>
        <v>0</v>
      </c>
      <c r="L975" s="37" t="n">
        <f aca="false">I975*K975</f>
        <v>0</v>
      </c>
    </row>
    <row r="976" customFormat="false" ht="15" hidden="false" customHeight="false" outlineLevel="0" collapsed="false">
      <c r="A976" s="32" t="s">
        <v>1874</v>
      </c>
      <c r="B976" s="32" t="s">
        <v>23</v>
      </c>
      <c r="C976" s="32" t="s">
        <v>1875</v>
      </c>
      <c r="D976" s="32" t="s">
        <v>100</v>
      </c>
      <c r="E976" s="33" t="n">
        <v>8430942017309</v>
      </c>
      <c r="F976" s="33" t="n">
        <v>1</v>
      </c>
      <c r="G976" s="34" t="n">
        <v>52.43</v>
      </c>
      <c r="H976" s="33" t="n">
        <v>69</v>
      </c>
      <c r="I976" s="34" t="n">
        <f aca="false">G976*((100-H976)/100)</f>
        <v>16.2533</v>
      </c>
      <c r="J976" s="35"/>
      <c r="K976" s="36" t="n">
        <f aca="false">+F976*J976</f>
        <v>0</v>
      </c>
      <c r="L976" s="37" t="n">
        <f aca="false">I976*K976</f>
        <v>0</v>
      </c>
    </row>
    <row r="977" customFormat="false" ht="15" hidden="false" customHeight="false" outlineLevel="0" collapsed="false">
      <c r="A977" s="32" t="s">
        <v>1876</v>
      </c>
      <c r="B977" s="32" t="s">
        <v>23</v>
      </c>
      <c r="C977" s="32" t="s">
        <v>1877</v>
      </c>
      <c r="D977" s="32" t="s">
        <v>100</v>
      </c>
      <c r="E977" s="33" t="n">
        <v>8430942019297</v>
      </c>
      <c r="F977" s="33" t="n">
        <v>1</v>
      </c>
      <c r="G977" s="34" t="n">
        <v>52.44</v>
      </c>
      <c r="H977" s="33" t="n">
        <v>69</v>
      </c>
      <c r="I977" s="34" t="n">
        <f aca="false">G977*((100-H977)/100)</f>
        <v>16.2564</v>
      </c>
      <c r="J977" s="35"/>
      <c r="K977" s="36" t="n">
        <f aca="false">+F977*J977</f>
        <v>0</v>
      </c>
      <c r="L977" s="37" t="n">
        <f aca="false">I977*K977</f>
        <v>0</v>
      </c>
    </row>
    <row r="978" customFormat="false" ht="15" hidden="false" customHeight="false" outlineLevel="0" collapsed="false">
      <c r="A978" s="32" t="s">
        <v>1878</v>
      </c>
      <c r="B978" s="32" t="s">
        <v>23</v>
      </c>
      <c r="C978" s="32" t="s">
        <v>1879</v>
      </c>
      <c r="D978" s="32" t="s">
        <v>100</v>
      </c>
      <c r="E978" s="33" t="n">
        <v>8430942019303</v>
      </c>
      <c r="F978" s="33" t="n">
        <v>1</v>
      </c>
      <c r="G978" s="34" t="n">
        <v>55.26</v>
      </c>
      <c r="H978" s="33" t="n">
        <v>69</v>
      </c>
      <c r="I978" s="34" t="n">
        <f aca="false">G978*((100-H978)/100)</f>
        <v>17.1306</v>
      </c>
      <c r="J978" s="35"/>
      <c r="K978" s="36" t="n">
        <f aca="false">+F978*J978</f>
        <v>0</v>
      </c>
      <c r="L978" s="37" t="n">
        <f aca="false">I978*K978</f>
        <v>0</v>
      </c>
    </row>
    <row r="979" customFormat="false" ht="15" hidden="false" customHeight="false" outlineLevel="0" collapsed="false">
      <c r="A979" s="32" t="s">
        <v>1880</v>
      </c>
      <c r="B979" s="32" t="s">
        <v>23</v>
      </c>
      <c r="C979" s="32" t="s">
        <v>1881</v>
      </c>
      <c r="D979" s="32" t="s">
        <v>100</v>
      </c>
      <c r="E979" s="33" t="n">
        <v>8430942019310</v>
      </c>
      <c r="F979" s="33" t="n">
        <v>1</v>
      </c>
      <c r="G979" s="34" t="n">
        <v>59.49</v>
      </c>
      <c r="H979" s="33" t="n">
        <v>69</v>
      </c>
      <c r="I979" s="34" t="n">
        <f aca="false">G979*((100-H979)/100)</f>
        <v>18.4419</v>
      </c>
      <c r="J979" s="35"/>
      <c r="K979" s="36" t="n">
        <f aca="false">+F979*J979</f>
        <v>0</v>
      </c>
      <c r="L979" s="37" t="n">
        <f aca="false">I979*K979</f>
        <v>0</v>
      </c>
    </row>
    <row r="980" customFormat="false" ht="15" hidden="false" customHeight="false" outlineLevel="0" collapsed="false">
      <c r="A980" s="32" t="s">
        <v>1882</v>
      </c>
      <c r="B980" s="32" t="s">
        <v>23</v>
      </c>
      <c r="C980" s="32" t="s">
        <v>1883</v>
      </c>
      <c r="D980" s="32" t="s">
        <v>100</v>
      </c>
      <c r="E980" s="33" t="n">
        <v>8430942019327</v>
      </c>
      <c r="F980" s="33" t="n">
        <v>1</v>
      </c>
      <c r="G980" s="34" t="n">
        <v>63.33</v>
      </c>
      <c r="H980" s="33" t="n">
        <v>69</v>
      </c>
      <c r="I980" s="34" t="n">
        <f aca="false">G980*((100-H980)/100)</f>
        <v>19.6323</v>
      </c>
      <c r="J980" s="35"/>
      <c r="K980" s="36" t="n">
        <f aca="false">+F980*J980</f>
        <v>0</v>
      </c>
      <c r="L980" s="37" t="n">
        <f aca="false">I980*K980</f>
        <v>0</v>
      </c>
    </row>
    <row r="981" customFormat="false" ht="15" hidden="false" customHeight="false" outlineLevel="0" collapsed="false">
      <c r="A981" s="32" t="s">
        <v>1884</v>
      </c>
      <c r="B981" s="32" t="s">
        <v>23</v>
      </c>
      <c r="C981" s="32" t="s">
        <v>1885</v>
      </c>
      <c r="D981" s="32" t="s">
        <v>100</v>
      </c>
      <c r="E981" s="33" t="n">
        <v>8430942019334</v>
      </c>
      <c r="F981" s="33" t="n">
        <v>1</v>
      </c>
      <c r="G981" s="34" t="n">
        <v>68.78</v>
      </c>
      <c r="H981" s="33" t="n">
        <v>69</v>
      </c>
      <c r="I981" s="34" t="n">
        <f aca="false">G981*((100-H981)/100)</f>
        <v>21.3218</v>
      </c>
      <c r="J981" s="35"/>
      <c r="K981" s="36" t="n">
        <f aca="false">+F981*J981</f>
        <v>0</v>
      </c>
      <c r="L981" s="37" t="n">
        <f aca="false">I981*K981</f>
        <v>0</v>
      </c>
    </row>
    <row r="982" customFormat="false" ht="15" hidden="false" customHeight="false" outlineLevel="0" collapsed="false">
      <c r="A982" s="32" t="s">
        <v>1886</v>
      </c>
      <c r="B982" s="32" t="s">
        <v>23</v>
      </c>
      <c r="C982" s="32" t="s">
        <v>1887</v>
      </c>
      <c r="D982" s="32" t="s">
        <v>100</v>
      </c>
      <c r="E982" s="33" t="n">
        <v>8430942019341</v>
      </c>
      <c r="F982" s="33" t="n">
        <v>1</v>
      </c>
      <c r="G982" s="34" t="n">
        <v>68.78</v>
      </c>
      <c r="H982" s="33" t="n">
        <v>69</v>
      </c>
      <c r="I982" s="34" t="n">
        <f aca="false">G982*((100-H982)/100)</f>
        <v>21.3218</v>
      </c>
      <c r="J982" s="35"/>
      <c r="K982" s="36" t="n">
        <f aca="false">+F982*J982</f>
        <v>0</v>
      </c>
      <c r="L982" s="37" t="n">
        <f aca="false">I982*K982</f>
        <v>0</v>
      </c>
    </row>
    <row r="983" customFormat="false" ht="15" hidden="false" customHeight="false" outlineLevel="0" collapsed="false">
      <c r="A983" s="32" t="s">
        <v>1888</v>
      </c>
      <c r="B983" s="32" t="s">
        <v>23</v>
      </c>
      <c r="C983" s="32" t="s">
        <v>1889</v>
      </c>
      <c r="D983" s="32" t="s">
        <v>100</v>
      </c>
      <c r="E983" s="33" t="n">
        <v>8430942019365</v>
      </c>
      <c r="F983" s="33" t="n">
        <v>1</v>
      </c>
      <c r="G983" s="34" t="n">
        <v>75.64</v>
      </c>
      <c r="H983" s="33" t="n">
        <v>69</v>
      </c>
      <c r="I983" s="34" t="n">
        <f aca="false">G983*((100-H983)/100)</f>
        <v>23.4484</v>
      </c>
      <c r="J983" s="35"/>
      <c r="K983" s="36" t="n">
        <f aca="false">+F983*J983</f>
        <v>0</v>
      </c>
      <c r="L983" s="37" t="n">
        <f aca="false">I983*K983</f>
        <v>0</v>
      </c>
    </row>
    <row r="984" customFormat="false" ht="15" hidden="false" customHeight="false" outlineLevel="0" collapsed="false">
      <c r="A984" s="32" t="s">
        <v>1890</v>
      </c>
      <c r="B984" s="32" t="s">
        <v>23</v>
      </c>
      <c r="C984" s="32" t="s">
        <v>1891</v>
      </c>
      <c r="D984" s="32" t="s">
        <v>100</v>
      </c>
      <c r="E984" s="33" t="n">
        <v>8430942019372</v>
      </c>
      <c r="F984" s="33" t="n">
        <v>1</v>
      </c>
      <c r="G984" s="34" t="n">
        <v>82.92</v>
      </c>
      <c r="H984" s="33" t="n">
        <v>69</v>
      </c>
      <c r="I984" s="34" t="n">
        <f aca="false">G984*((100-H984)/100)</f>
        <v>25.7052</v>
      </c>
      <c r="J984" s="35"/>
      <c r="K984" s="36" t="n">
        <f aca="false">+F984*J984</f>
        <v>0</v>
      </c>
      <c r="L984" s="37" t="n">
        <f aca="false">I984*K984</f>
        <v>0</v>
      </c>
    </row>
    <row r="985" customFormat="false" ht="15" hidden="false" customHeight="false" outlineLevel="0" collapsed="false">
      <c r="A985" s="32" t="s">
        <v>1892</v>
      </c>
      <c r="B985" s="32" t="s">
        <v>23</v>
      </c>
      <c r="C985" s="32" t="s">
        <v>1893</v>
      </c>
      <c r="D985" s="32" t="s">
        <v>126</v>
      </c>
      <c r="E985" s="33" t="n">
        <v>8430942012922</v>
      </c>
      <c r="F985" s="33" t="n">
        <v>12</v>
      </c>
      <c r="G985" s="34" t="n">
        <v>26.2</v>
      </c>
      <c r="H985" s="33" t="n">
        <v>69</v>
      </c>
      <c r="I985" s="34" t="n">
        <f aca="false">G985*((100-H985)/100)</f>
        <v>8.122</v>
      </c>
      <c r="J985" s="35"/>
      <c r="K985" s="36" t="n">
        <f aca="false">+F985*J985</f>
        <v>0</v>
      </c>
      <c r="L985" s="37" t="n">
        <f aca="false">I985*K985</f>
        <v>0</v>
      </c>
    </row>
    <row r="986" customFormat="false" ht="15" hidden="false" customHeight="false" outlineLevel="0" collapsed="false">
      <c r="A986" s="32" t="s">
        <v>1894</v>
      </c>
      <c r="B986" s="32" t="s">
        <v>23</v>
      </c>
      <c r="C986" s="32" t="s">
        <v>1895</v>
      </c>
      <c r="D986" s="32" t="s">
        <v>126</v>
      </c>
      <c r="E986" s="33" t="n">
        <v>8430942013042</v>
      </c>
      <c r="F986" s="33" t="n">
        <v>12</v>
      </c>
      <c r="G986" s="34" t="n">
        <v>30.2</v>
      </c>
      <c r="H986" s="33" t="n">
        <v>69</v>
      </c>
      <c r="I986" s="34" t="n">
        <f aca="false">G986*((100-H986)/100)</f>
        <v>9.362</v>
      </c>
      <c r="J986" s="35"/>
      <c r="K986" s="36" t="n">
        <f aca="false">+F986*J986</f>
        <v>0</v>
      </c>
      <c r="L986" s="37" t="n">
        <f aca="false">I986*K986</f>
        <v>0</v>
      </c>
    </row>
    <row r="987" customFormat="false" ht="15" hidden="false" customHeight="false" outlineLevel="0" collapsed="false">
      <c r="A987" s="32" t="s">
        <v>1896</v>
      </c>
      <c r="B987" s="32" t="s">
        <v>23</v>
      </c>
      <c r="C987" s="32" t="s">
        <v>1897</v>
      </c>
      <c r="D987" s="32" t="s">
        <v>126</v>
      </c>
      <c r="E987" s="33" t="n">
        <v>8430942013080</v>
      </c>
      <c r="F987" s="33" t="n">
        <v>12</v>
      </c>
      <c r="G987" s="34" t="n">
        <v>31.15</v>
      </c>
      <c r="H987" s="33" t="n">
        <v>69</v>
      </c>
      <c r="I987" s="34" t="n">
        <f aca="false">G987*((100-H987)/100)</f>
        <v>9.6565</v>
      </c>
      <c r="J987" s="35"/>
      <c r="K987" s="36" t="n">
        <f aca="false">+F987*J987</f>
        <v>0</v>
      </c>
      <c r="L987" s="37" t="n">
        <f aca="false">I987*K987</f>
        <v>0</v>
      </c>
    </row>
    <row r="988" customFormat="false" ht="15" hidden="false" customHeight="false" outlineLevel="0" collapsed="false">
      <c r="A988" s="32" t="s">
        <v>1898</v>
      </c>
      <c r="B988" s="32" t="s">
        <v>23</v>
      </c>
      <c r="C988" s="32" t="s">
        <v>1899</v>
      </c>
      <c r="D988" s="32" t="s">
        <v>126</v>
      </c>
      <c r="E988" s="33" t="n">
        <v>8430942013196</v>
      </c>
      <c r="F988" s="33" t="n">
        <v>12</v>
      </c>
      <c r="G988" s="34" t="n">
        <v>33.1</v>
      </c>
      <c r="H988" s="33" t="n">
        <v>69</v>
      </c>
      <c r="I988" s="34" t="n">
        <f aca="false">G988*((100-H988)/100)</f>
        <v>10.261</v>
      </c>
      <c r="J988" s="35"/>
      <c r="K988" s="36" t="n">
        <f aca="false">+F988*J988</f>
        <v>0</v>
      </c>
      <c r="L988" s="37" t="n">
        <f aca="false">I988*K988</f>
        <v>0</v>
      </c>
    </row>
    <row r="989" customFormat="false" ht="15" hidden="false" customHeight="false" outlineLevel="0" collapsed="false">
      <c r="A989" s="32" t="s">
        <v>1900</v>
      </c>
      <c r="B989" s="32" t="s">
        <v>23</v>
      </c>
      <c r="C989" s="32" t="s">
        <v>1901</v>
      </c>
      <c r="D989" s="32" t="s">
        <v>126</v>
      </c>
      <c r="E989" s="33" t="n">
        <v>8430942013301</v>
      </c>
      <c r="F989" s="33" t="n">
        <v>12</v>
      </c>
      <c r="G989" s="34" t="n">
        <v>44.16</v>
      </c>
      <c r="H989" s="33" t="n">
        <v>69</v>
      </c>
      <c r="I989" s="34" t="n">
        <f aca="false">G989*((100-H989)/100)</f>
        <v>13.6896</v>
      </c>
      <c r="J989" s="35"/>
      <c r="K989" s="36" t="n">
        <f aca="false">+F989*J989</f>
        <v>0</v>
      </c>
      <c r="L989" s="37" t="n">
        <f aca="false">I989*K989</f>
        <v>0</v>
      </c>
    </row>
    <row r="990" customFormat="false" ht="15" hidden="false" customHeight="false" outlineLevel="0" collapsed="false">
      <c r="A990" s="32" t="s">
        <v>1902</v>
      </c>
      <c r="B990" s="32" t="s">
        <v>23</v>
      </c>
      <c r="C990" s="32" t="s">
        <v>1903</v>
      </c>
      <c r="D990" s="32" t="s">
        <v>126</v>
      </c>
      <c r="E990" s="33" t="n">
        <v>8430942013356</v>
      </c>
      <c r="F990" s="33" t="n">
        <v>12</v>
      </c>
      <c r="G990" s="34" t="n">
        <v>52.97</v>
      </c>
      <c r="H990" s="33" t="n">
        <v>69</v>
      </c>
      <c r="I990" s="34" t="n">
        <f aca="false">G990*((100-H990)/100)</f>
        <v>16.4207</v>
      </c>
      <c r="J990" s="35"/>
      <c r="K990" s="36" t="n">
        <f aca="false">+F990*J990</f>
        <v>0</v>
      </c>
      <c r="L990" s="37" t="n">
        <f aca="false">I990*K990</f>
        <v>0</v>
      </c>
    </row>
    <row r="991" customFormat="false" ht="15" hidden="false" customHeight="false" outlineLevel="0" collapsed="false">
      <c r="A991" s="32" t="s">
        <v>1904</v>
      </c>
      <c r="B991" s="32" t="s">
        <v>23</v>
      </c>
      <c r="C991" s="32" t="s">
        <v>1905</v>
      </c>
      <c r="D991" s="32" t="s">
        <v>126</v>
      </c>
      <c r="E991" s="33" t="n">
        <v>8430942013394</v>
      </c>
      <c r="F991" s="33" t="n">
        <v>1</v>
      </c>
      <c r="G991" s="34" t="n">
        <v>80.35</v>
      </c>
      <c r="H991" s="33" t="n">
        <v>69</v>
      </c>
      <c r="I991" s="34" t="n">
        <f aca="false">G991*((100-H991)/100)</f>
        <v>24.9085</v>
      </c>
      <c r="J991" s="35"/>
      <c r="K991" s="36" t="n">
        <f aca="false">+F991*J991</f>
        <v>0</v>
      </c>
      <c r="L991" s="37" t="n">
        <f aca="false">I991*K991</f>
        <v>0</v>
      </c>
    </row>
    <row r="992" customFormat="false" ht="15" hidden="false" customHeight="false" outlineLevel="0" collapsed="false">
      <c r="A992" s="32" t="s">
        <v>1906</v>
      </c>
      <c r="B992" s="32" t="s">
        <v>23</v>
      </c>
      <c r="C992" s="32" t="s">
        <v>1907</v>
      </c>
      <c r="D992" s="32" t="s">
        <v>126</v>
      </c>
      <c r="E992" s="33" t="n">
        <v>8430942013424</v>
      </c>
      <c r="F992" s="33" t="n">
        <v>1</v>
      </c>
      <c r="G992" s="34" t="n">
        <v>101.43</v>
      </c>
      <c r="H992" s="33" t="n">
        <v>69</v>
      </c>
      <c r="I992" s="34" t="n">
        <f aca="false">G992*((100-H992)/100)</f>
        <v>31.4433</v>
      </c>
      <c r="J992" s="35"/>
      <c r="K992" s="36" t="n">
        <f aca="false">+F992*J992</f>
        <v>0</v>
      </c>
      <c r="L992" s="37" t="n">
        <f aca="false">I992*K992</f>
        <v>0</v>
      </c>
    </row>
    <row r="993" customFormat="false" ht="15" hidden="false" customHeight="false" outlineLevel="0" collapsed="false">
      <c r="A993" s="32" t="s">
        <v>1908</v>
      </c>
      <c r="B993" s="32" t="s">
        <v>23</v>
      </c>
      <c r="C993" s="32" t="s">
        <v>1909</v>
      </c>
      <c r="D993" s="32" t="s">
        <v>126</v>
      </c>
      <c r="E993" s="33" t="n">
        <v>8430942013462</v>
      </c>
      <c r="F993" s="33" t="n">
        <v>1</v>
      </c>
      <c r="G993" s="34" t="n">
        <v>130.2</v>
      </c>
      <c r="H993" s="33" t="n">
        <v>69</v>
      </c>
      <c r="I993" s="34" t="n">
        <f aca="false">G993*((100-H993)/100)</f>
        <v>40.362</v>
      </c>
      <c r="J993" s="35"/>
      <c r="K993" s="36" t="n">
        <f aca="false">+F993*J993</f>
        <v>0</v>
      </c>
      <c r="L993" s="37" t="n">
        <f aca="false">I993*K993</f>
        <v>0</v>
      </c>
    </row>
    <row r="994" customFormat="false" ht="15" hidden="false" customHeight="false" outlineLevel="0" collapsed="false">
      <c r="A994" s="32" t="s">
        <v>1910</v>
      </c>
      <c r="B994" s="32" t="s">
        <v>23</v>
      </c>
      <c r="C994" s="32" t="s">
        <v>1911</v>
      </c>
      <c r="D994" s="32" t="s">
        <v>126</v>
      </c>
      <c r="E994" s="33" t="n">
        <v>8430942012939</v>
      </c>
      <c r="F994" s="33" t="n">
        <v>8</v>
      </c>
      <c r="G994" s="34" t="n">
        <v>26.2</v>
      </c>
      <c r="H994" s="33" t="n">
        <v>69</v>
      </c>
      <c r="I994" s="34" t="n">
        <f aca="false">G994*((100-H994)/100)</f>
        <v>8.122</v>
      </c>
      <c r="J994" s="35"/>
      <c r="K994" s="36" t="n">
        <f aca="false">+F994*J994</f>
        <v>0</v>
      </c>
      <c r="L994" s="37" t="n">
        <f aca="false">I994*K994</f>
        <v>0</v>
      </c>
    </row>
    <row r="995" customFormat="false" ht="15" hidden="false" customHeight="false" outlineLevel="0" collapsed="false">
      <c r="A995" s="32" t="s">
        <v>1912</v>
      </c>
      <c r="B995" s="32" t="s">
        <v>23</v>
      </c>
      <c r="C995" s="32" t="s">
        <v>1913</v>
      </c>
      <c r="D995" s="32" t="s">
        <v>126</v>
      </c>
      <c r="E995" s="33" t="n">
        <v>8430942013035</v>
      </c>
      <c r="F995" s="33" t="n">
        <v>8</v>
      </c>
      <c r="G995" s="34" t="n">
        <v>30.2</v>
      </c>
      <c r="H995" s="33" t="n">
        <v>69</v>
      </c>
      <c r="I995" s="34" t="n">
        <f aca="false">G995*((100-H995)/100)</f>
        <v>9.362</v>
      </c>
      <c r="J995" s="35"/>
      <c r="K995" s="36" t="n">
        <f aca="false">+F995*J995</f>
        <v>0</v>
      </c>
      <c r="L995" s="37" t="n">
        <f aca="false">I995*K995</f>
        <v>0</v>
      </c>
    </row>
    <row r="996" customFormat="false" ht="15" hidden="false" customHeight="false" outlineLevel="0" collapsed="false">
      <c r="A996" s="32" t="s">
        <v>1914</v>
      </c>
      <c r="B996" s="32" t="s">
        <v>23</v>
      </c>
      <c r="C996" s="32" t="s">
        <v>1915</v>
      </c>
      <c r="D996" s="32" t="s">
        <v>126</v>
      </c>
      <c r="E996" s="33" t="n">
        <v>8430942013073</v>
      </c>
      <c r="F996" s="33" t="n">
        <v>8</v>
      </c>
      <c r="G996" s="34" t="n">
        <v>31.15</v>
      </c>
      <c r="H996" s="33" t="n">
        <v>69</v>
      </c>
      <c r="I996" s="34" t="n">
        <f aca="false">G996*((100-H996)/100)</f>
        <v>9.6565</v>
      </c>
      <c r="J996" s="35"/>
      <c r="K996" s="36" t="n">
        <f aca="false">+F996*J996</f>
        <v>0</v>
      </c>
      <c r="L996" s="37" t="n">
        <f aca="false">I996*K996</f>
        <v>0</v>
      </c>
    </row>
    <row r="997" customFormat="false" ht="15" hidden="false" customHeight="false" outlineLevel="0" collapsed="false">
      <c r="A997" s="32" t="s">
        <v>1916</v>
      </c>
      <c r="B997" s="32" t="s">
        <v>23</v>
      </c>
      <c r="C997" s="32" t="s">
        <v>1917</v>
      </c>
      <c r="D997" s="32" t="s">
        <v>126</v>
      </c>
      <c r="E997" s="33" t="n">
        <v>8430942013189</v>
      </c>
      <c r="F997" s="33" t="n">
        <v>8</v>
      </c>
      <c r="G997" s="34" t="n">
        <v>33.1</v>
      </c>
      <c r="H997" s="33" t="n">
        <v>69</v>
      </c>
      <c r="I997" s="34" t="n">
        <f aca="false">G997*((100-H997)/100)</f>
        <v>10.261</v>
      </c>
      <c r="J997" s="35"/>
      <c r="K997" s="36" t="n">
        <f aca="false">+F997*J997</f>
        <v>0</v>
      </c>
      <c r="L997" s="37" t="n">
        <f aca="false">I997*K997</f>
        <v>0</v>
      </c>
    </row>
    <row r="998" customFormat="false" ht="15" hidden="false" customHeight="false" outlineLevel="0" collapsed="false">
      <c r="A998" s="32" t="s">
        <v>1918</v>
      </c>
      <c r="B998" s="32" t="s">
        <v>23</v>
      </c>
      <c r="C998" s="32" t="s">
        <v>1919</v>
      </c>
      <c r="D998" s="32" t="s">
        <v>126</v>
      </c>
      <c r="E998" s="33" t="n">
        <v>8430942013295</v>
      </c>
      <c r="F998" s="33" t="n">
        <v>8</v>
      </c>
      <c r="G998" s="34" t="n">
        <v>44.16</v>
      </c>
      <c r="H998" s="33" t="n">
        <v>69</v>
      </c>
      <c r="I998" s="34" t="n">
        <f aca="false">G998*((100-H998)/100)</f>
        <v>13.6896</v>
      </c>
      <c r="J998" s="35"/>
      <c r="K998" s="36" t="n">
        <f aca="false">+F998*J998</f>
        <v>0</v>
      </c>
      <c r="L998" s="37" t="n">
        <f aca="false">I998*K998</f>
        <v>0</v>
      </c>
    </row>
    <row r="999" customFormat="false" ht="15" hidden="false" customHeight="false" outlineLevel="0" collapsed="false">
      <c r="A999" s="32" t="s">
        <v>1920</v>
      </c>
      <c r="B999" s="32" t="s">
        <v>23</v>
      </c>
      <c r="C999" s="32" t="s">
        <v>1921</v>
      </c>
      <c r="D999" s="32" t="s">
        <v>126</v>
      </c>
      <c r="E999" s="33" t="n">
        <v>8430942013349</v>
      </c>
      <c r="F999" s="33" t="n">
        <v>8</v>
      </c>
      <c r="G999" s="34" t="n">
        <v>52.97</v>
      </c>
      <c r="H999" s="33" t="n">
        <v>69</v>
      </c>
      <c r="I999" s="34" t="n">
        <f aca="false">G999*((100-H999)/100)</f>
        <v>16.4207</v>
      </c>
      <c r="J999" s="35"/>
      <c r="K999" s="36" t="n">
        <f aca="false">+F999*J999</f>
        <v>0</v>
      </c>
      <c r="L999" s="37" t="n">
        <f aca="false">I999*K999</f>
        <v>0</v>
      </c>
    </row>
    <row r="1000" customFormat="false" ht="15" hidden="false" customHeight="false" outlineLevel="0" collapsed="false">
      <c r="A1000" s="32" t="s">
        <v>1922</v>
      </c>
      <c r="B1000" s="32" t="s">
        <v>23</v>
      </c>
      <c r="C1000" s="32" t="s">
        <v>1923</v>
      </c>
      <c r="D1000" s="32" t="s">
        <v>126</v>
      </c>
      <c r="E1000" s="33" t="n">
        <v>8430942013387</v>
      </c>
      <c r="F1000" s="33" t="n">
        <v>1</v>
      </c>
      <c r="G1000" s="34" t="n">
        <v>80.35</v>
      </c>
      <c r="H1000" s="33" t="n">
        <v>69</v>
      </c>
      <c r="I1000" s="34" t="n">
        <f aca="false">G1000*((100-H1000)/100)</f>
        <v>24.9085</v>
      </c>
      <c r="J1000" s="35"/>
      <c r="K1000" s="36" t="n">
        <f aca="false">+F1000*J1000</f>
        <v>0</v>
      </c>
      <c r="L1000" s="37" t="n">
        <f aca="false">I1000*K1000</f>
        <v>0</v>
      </c>
    </row>
    <row r="1001" customFormat="false" ht="15" hidden="false" customHeight="false" outlineLevel="0" collapsed="false">
      <c r="A1001" s="32" t="s">
        <v>1924</v>
      </c>
      <c r="B1001" s="32" t="s">
        <v>23</v>
      </c>
      <c r="C1001" s="32" t="s">
        <v>1925</v>
      </c>
      <c r="D1001" s="32" t="s">
        <v>126</v>
      </c>
      <c r="E1001" s="33" t="n">
        <v>8430942013431</v>
      </c>
      <c r="F1001" s="33" t="n">
        <v>1</v>
      </c>
      <c r="G1001" s="34" t="n">
        <v>101.43</v>
      </c>
      <c r="H1001" s="33" t="n">
        <v>69</v>
      </c>
      <c r="I1001" s="34" t="n">
        <f aca="false">G1001*((100-H1001)/100)</f>
        <v>31.4433</v>
      </c>
      <c r="J1001" s="35"/>
      <c r="K1001" s="36" t="n">
        <f aca="false">+F1001*J1001</f>
        <v>0</v>
      </c>
      <c r="L1001" s="37" t="n">
        <f aca="false">I1001*K1001</f>
        <v>0</v>
      </c>
    </row>
    <row r="1002" customFormat="false" ht="15" hidden="false" customHeight="false" outlineLevel="0" collapsed="false">
      <c r="A1002" s="32" t="s">
        <v>1926</v>
      </c>
      <c r="B1002" s="32" t="s">
        <v>23</v>
      </c>
      <c r="C1002" s="32" t="s">
        <v>1927</v>
      </c>
      <c r="D1002" s="32" t="s">
        <v>126</v>
      </c>
      <c r="E1002" s="33" t="n">
        <v>8430942013479</v>
      </c>
      <c r="F1002" s="33" t="n">
        <v>1</v>
      </c>
      <c r="G1002" s="34" t="n">
        <v>130.2</v>
      </c>
      <c r="H1002" s="33" t="n">
        <v>69</v>
      </c>
      <c r="I1002" s="34" t="n">
        <f aca="false">G1002*((100-H1002)/100)</f>
        <v>40.362</v>
      </c>
      <c r="J1002" s="35"/>
      <c r="K1002" s="36" t="n">
        <f aca="false">+F1002*J1002</f>
        <v>0</v>
      </c>
      <c r="L1002" s="37" t="n">
        <f aca="false">I1002*K1002</f>
        <v>0</v>
      </c>
    </row>
    <row r="1003" customFormat="false" ht="15" hidden="false" customHeight="false" outlineLevel="0" collapsed="false">
      <c r="A1003" s="32" t="s">
        <v>1928</v>
      </c>
      <c r="B1003" s="32" t="s">
        <v>23</v>
      </c>
      <c r="C1003" s="32" t="s">
        <v>1929</v>
      </c>
      <c r="D1003" s="32" t="s">
        <v>126</v>
      </c>
      <c r="E1003" s="33" t="n">
        <v>8430942012908</v>
      </c>
      <c r="F1003" s="33" t="n">
        <v>6</v>
      </c>
      <c r="G1003" s="34" t="n">
        <v>32.7</v>
      </c>
      <c r="H1003" s="33" t="n">
        <v>69</v>
      </c>
      <c r="I1003" s="34" t="n">
        <f aca="false">G1003*((100-H1003)/100)</f>
        <v>10.137</v>
      </c>
      <c r="J1003" s="35"/>
      <c r="K1003" s="36" t="n">
        <f aca="false">+F1003*J1003</f>
        <v>0</v>
      </c>
      <c r="L1003" s="37" t="n">
        <f aca="false">I1003*K1003</f>
        <v>0</v>
      </c>
    </row>
    <row r="1004" customFormat="false" ht="15" hidden="false" customHeight="false" outlineLevel="0" collapsed="false">
      <c r="A1004" s="32" t="s">
        <v>1930</v>
      </c>
      <c r="B1004" s="32" t="s">
        <v>23</v>
      </c>
      <c r="C1004" s="32" t="s">
        <v>1931</v>
      </c>
      <c r="D1004" s="32" t="s">
        <v>126</v>
      </c>
      <c r="E1004" s="33" t="n">
        <v>8430942013059</v>
      </c>
      <c r="F1004" s="33" t="n">
        <v>6</v>
      </c>
      <c r="G1004" s="34" t="n">
        <v>38.35</v>
      </c>
      <c r="H1004" s="33" t="n">
        <v>69</v>
      </c>
      <c r="I1004" s="34" t="n">
        <f aca="false">G1004*((100-H1004)/100)</f>
        <v>11.8885</v>
      </c>
      <c r="J1004" s="35"/>
      <c r="K1004" s="36" t="n">
        <f aca="false">+F1004*J1004</f>
        <v>0</v>
      </c>
      <c r="L1004" s="37" t="n">
        <f aca="false">I1004*K1004</f>
        <v>0</v>
      </c>
    </row>
    <row r="1005" customFormat="false" ht="15" hidden="false" customHeight="false" outlineLevel="0" collapsed="false">
      <c r="A1005" s="32" t="s">
        <v>1932</v>
      </c>
      <c r="B1005" s="32" t="s">
        <v>23</v>
      </c>
      <c r="C1005" s="32" t="s">
        <v>1933</v>
      </c>
      <c r="D1005" s="32" t="s">
        <v>126</v>
      </c>
      <c r="E1005" s="33" t="n">
        <v>8430942013097</v>
      </c>
      <c r="F1005" s="33" t="n">
        <v>6</v>
      </c>
      <c r="G1005" s="34" t="n">
        <v>39.8</v>
      </c>
      <c r="H1005" s="33" t="n">
        <v>69</v>
      </c>
      <c r="I1005" s="34" t="n">
        <f aca="false">G1005*((100-H1005)/100)</f>
        <v>12.338</v>
      </c>
      <c r="J1005" s="35"/>
      <c r="K1005" s="36" t="n">
        <f aca="false">+F1005*J1005</f>
        <v>0</v>
      </c>
      <c r="L1005" s="37" t="n">
        <f aca="false">I1005*K1005</f>
        <v>0</v>
      </c>
    </row>
    <row r="1006" customFormat="false" ht="15" hidden="false" customHeight="false" outlineLevel="0" collapsed="false">
      <c r="A1006" s="32" t="s">
        <v>1934</v>
      </c>
      <c r="B1006" s="32" t="s">
        <v>23</v>
      </c>
      <c r="C1006" s="32" t="s">
        <v>1935</v>
      </c>
      <c r="D1006" s="32" t="s">
        <v>126</v>
      </c>
      <c r="E1006" s="33" t="n">
        <v>8430942013202</v>
      </c>
      <c r="F1006" s="33" t="n">
        <v>6</v>
      </c>
      <c r="G1006" s="34" t="n">
        <v>41.5</v>
      </c>
      <c r="H1006" s="33" t="n">
        <v>69</v>
      </c>
      <c r="I1006" s="34" t="n">
        <f aca="false">G1006*((100-H1006)/100)</f>
        <v>12.865</v>
      </c>
      <c r="J1006" s="35"/>
      <c r="K1006" s="36" t="n">
        <f aca="false">+F1006*J1006</f>
        <v>0</v>
      </c>
      <c r="L1006" s="37" t="n">
        <f aca="false">I1006*K1006</f>
        <v>0</v>
      </c>
    </row>
    <row r="1007" customFormat="false" ht="15" hidden="false" customHeight="false" outlineLevel="0" collapsed="false">
      <c r="A1007" s="32" t="s">
        <v>1936</v>
      </c>
      <c r="B1007" s="32" t="s">
        <v>23</v>
      </c>
      <c r="C1007" s="32" t="s">
        <v>1937</v>
      </c>
      <c r="D1007" s="32" t="s">
        <v>126</v>
      </c>
      <c r="E1007" s="33" t="n">
        <v>8430942013318</v>
      </c>
      <c r="F1007" s="33" t="n">
        <v>6</v>
      </c>
      <c r="G1007" s="34" t="n">
        <v>52.13</v>
      </c>
      <c r="H1007" s="33" t="n">
        <v>69</v>
      </c>
      <c r="I1007" s="34" t="n">
        <f aca="false">G1007*((100-H1007)/100)</f>
        <v>16.1603</v>
      </c>
      <c r="J1007" s="35"/>
      <c r="K1007" s="36" t="n">
        <f aca="false">+F1007*J1007</f>
        <v>0</v>
      </c>
      <c r="L1007" s="37" t="n">
        <f aca="false">I1007*K1007</f>
        <v>0</v>
      </c>
    </row>
    <row r="1008" customFormat="false" ht="15" hidden="false" customHeight="false" outlineLevel="0" collapsed="false">
      <c r="A1008" s="32" t="s">
        <v>1938</v>
      </c>
      <c r="B1008" s="32" t="s">
        <v>23</v>
      </c>
      <c r="C1008" s="32" t="s">
        <v>1939</v>
      </c>
      <c r="D1008" s="32" t="s">
        <v>126</v>
      </c>
      <c r="E1008" s="33" t="n">
        <v>8430942013363</v>
      </c>
      <c r="F1008" s="33" t="n">
        <v>6</v>
      </c>
      <c r="G1008" s="34" t="n">
        <v>62.3</v>
      </c>
      <c r="H1008" s="33" t="n">
        <v>69</v>
      </c>
      <c r="I1008" s="34" t="n">
        <f aca="false">G1008*((100-H1008)/100)</f>
        <v>19.313</v>
      </c>
      <c r="J1008" s="35"/>
      <c r="K1008" s="36" t="n">
        <f aca="false">+F1008*J1008</f>
        <v>0</v>
      </c>
      <c r="L1008" s="37" t="n">
        <f aca="false">I1008*K1008</f>
        <v>0</v>
      </c>
    </row>
    <row r="1009" customFormat="false" ht="15" hidden="false" customHeight="false" outlineLevel="0" collapsed="false">
      <c r="A1009" s="32" t="s">
        <v>1940</v>
      </c>
      <c r="B1009" s="32" t="s">
        <v>23</v>
      </c>
      <c r="C1009" s="32" t="s">
        <v>1941</v>
      </c>
      <c r="D1009" s="32" t="s">
        <v>126</v>
      </c>
      <c r="E1009" s="33" t="n">
        <v>8430942013400</v>
      </c>
      <c r="F1009" s="33" t="n">
        <v>1</v>
      </c>
      <c r="G1009" s="34" t="n">
        <v>128.13</v>
      </c>
      <c r="H1009" s="33" t="n">
        <v>69</v>
      </c>
      <c r="I1009" s="34" t="n">
        <f aca="false">G1009*((100-H1009)/100)</f>
        <v>39.7203</v>
      </c>
      <c r="J1009" s="35"/>
      <c r="K1009" s="36" t="n">
        <f aca="false">+F1009*J1009</f>
        <v>0</v>
      </c>
      <c r="L1009" s="37" t="n">
        <f aca="false">I1009*K1009</f>
        <v>0</v>
      </c>
    </row>
    <row r="1010" customFormat="false" ht="15" hidden="false" customHeight="false" outlineLevel="0" collapsed="false">
      <c r="A1010" s="32" t="s">
        <v>1942</v>
      </c>
      <c r="B1010" s="32" t="s">
        <v>23</v>
      </c>
      <c r="C1010" s="32" t="s">
        <v>1943</v>
      </c>
      <c r="D1010" s="32" t="s">
        <v>126</v>
      </c>
      <c r="E1010" s="33" t="n">
        <v>8430942013448</v>
      </c>
      <c r="F1010" s="33" t="n">
        <v>1</v>
      </c>
      <c r="G1010" s="34" t="n">
        <v>165.78</v>
      </c>
      <c r="H1010" s="33" t="n">
        <v>69</v>
      </c>
      <c r="I1010" s="34" t="n">
        <f aca="false">G1010*((100-H1010)/100)</f>
        <v>51.3918</v>
      </c>
      <c r="J1010" s="35"/>
      <c r="K1010" s="36" t="n">
        <f aca="false">+F1010*J1010</f>
        <v>0</v>
      </c>
      <c r="L1010" s="37" t="n">
        <f aca="false">I1010*K1010</f>
        <v>0</v>
      </c>
    </row>
    <row r="1011" customFormat="false" ht="15" hidden="false" customHeight="false" outlineLevel="0" collapsed="false">
      <c r="A1011" s="32" t="s">
        <v>1944</v>
      </c>
      <c r="B1011" s="32" t="s">
        <v>23</v>
      </c>
      <c r="C1011" s="32" t="s">
        <v>1945</v>
      </c>
      <c r="D1011" s="32" t="s">
        <v>126</v>
      </c>
      <c r="E1011" s="33" t="n">
        <v>8430942013486</v>
      </c>
      <c r="F1011" s="33" t="n">
        <v>1</v>
      </c>
      <c r="G1011" s="34" t="n">
        <v>215.86</v>
      </c>
      <c r="H1011" s="33" t="n">
        <v>69</v>
      </c>
      <c r="I1011" s="34" t="n">
        <f aca="false">G1011*((100-H1011)/100)</f>
        <v>66.9166</v>
      </c>
      <c r="J1011" s="35"/>
      <c r="K1011" s="36" t="n">
        <f aca="false">+F1011*J1011</f>
        <v>0</v>
      </c>
      <c r="L1011" s="37" t="n">
        <f aca="false">I1011*K1011</f>
        <v>0</v>
      </c>
    </row>
    <row r="1012" customFormat="false" ht="15" hidden="false" customHeight="false" outlineLevel="0" collapsed="false">
      <c r="A1012" s="32" t="s">
        <v>1946</v>
      </c>
      <c r="B1012" s="32" t="s">
        <v>23</v>
      </c>
      <c r="C1012" s="32" t="s">
        <v>1947</v>
      </c>
      <c r="D1012" s="32" t="s">
        <v>126</v>
      </c>
      <c r="E1012" s="33" t="n">
        <v>8430942012915</v>
      </c>
      <c r="F1012" s="33" t="n">
        <v>4</v>
      </c>
      <c r="G1012" s="34" t="n">
        <v>32.7</v>
      </c>
      <c r="H1012" s="33" t="n">
        <v>69</v>
      </c>
      <c r="I1012" s="34" t="n">
        <f aca="false">G1012*((100-H1012)/100)</f>
        <v>10.137</v>
      </c>
      <c r="J1012" s="35"/>
      <c r="K1012" s="36" t="n">
        <f aca="false">+F1012*J1012</f>
        <v>0</v>
      </c>
      <c r="L1012" s="37" t="n">
        <f aca="false">I1012*K1012</f>
        <v>0</v>
      </c>
    </row>
    <row r="1013" customFormat="false" ht="15" hidden="false" customHeight="false" outlineLevel="0" collapsed="false">
      <c r="A1013" s="32" t="s">
        <v>1948</v>
      </c>
      <c r="B1013" s="32" t="s">
        <v>23</v>
      </c>
      <c r="C1013" s="32" t="s">
        <v>1949</v>
      </c>
      <c r="D1013" s="32" t="s">
        <v>126</v>
      </c>
      <c r="E1013" s="33" t="n">
        <v>8430942013028</v>
      </c>
      <c r="F1013" s="33" t="n">
        <v>4</v>
      </c>
      <c r="G1013" s="34" t="n">
        <v>38.35</v>
      </c>
      <c r="H1013" s="33" t="n">
        <v>69</v>
      </c>
      <c r="I1013" s="34" t="n">
        <f aca="false">G1013*((100-H1013)/100)</f>
        <v>11.8885</v>
      </c>
      <c r="J1013" s="35"/>
      <c r="K1013" s="36" t="n">
        <f aca="false">+F1013*J1013</f>
        <v>0</v>
      </c>
      <c r="L1013" s="37" t="n">
        <f aca="false">I1013*K1013</f>
        <v>0</v>
      </c>
    </row>
    <row r="1014" customFormat="false" ht="15" hidden="false" customHeight="false" outlineLevel="0" collapsed="false">
      <c r="A1014" s="32" t="s">
        <v>1950</v>
      </c>
      <c r="B1014" s="32" t="s">
        <v>23</v>
      </c>
      <c r="C1014" s="32" t="s">
        <v>1951</v>
      </c>
      <c r="D1014" s="32" t="s">
        <v>126</v>
      </c>
      <c r="E1014" s="33" t="n">
        <v>8430942013066</v>
      </c>
      <c r="F1014" s="33" t="n">
        <v>4</v>
      </c>
      <c r="G1014" s="34" t="n">
        <v>39.8</v>
      </c>
      <c r="H1014" s="33" t="n">
        <v>69</v>
      </c>
      <c r="I1014" s="34" t="n">
        <f aca="false">G1014*((100-H1014)/100)</f>
        <v>12.338</v>
      </c>
      <c r="J1014" s="35"/>
      <c r="K1014" s="36" t="n">
        <f aca="false">+F1014*J1014</f>
        <v>0</v>
      </c>
      <c r="L1014" s="37" t="n">
        <f aca="false">I1014*K1014</f>
        <v>0</v>
      </c>
    </row>
    <row r="1015" customFormat="false" ht="15" hidden="false" customHeight="false" outlineLevel="0" collapsed="false">
      <c r="A1015" s="38" t="s">
        <v>1952</v>
      </c>
      <c r="B1015" s="38" t="n">
        <v>102009</v>
      </c>
      <c r="C1015" s="38" t="s">
        <v>1953</v>
      </c>
      <c r="D1015" s="38" t="s">
        <v>126</v>
      </c>
      <c r="E1015" s="39" t="n">
        <v>8430942013172</v>
      </c>
      <c r="F1015" s="39" t="n">
        <v>4</v>
      </c>
      <c r="G1015" s="40" t="n">
        <v>41.5</v>
      </c>
      <c r="H1015" s="39" t="n">
        <v>69</v>
      </c>
      <c r="I1015" s="40" t="n">
        <f aca="false">G1015*((100-H1015)/100)</f>
        <v>12.865</v>
      </c>
      <c r="J1015" s="41"/>
      <c r="K1015" s="42" t="n">
        <f aca="false">+F1015*J1015</f>
        <v>0</v>
      </c>
      <c r="L1015" s="43" t="n">
        <f aca="false">I1015*K1015</f>
        <v>0</v>
      </c>
    </row>
    <row r="1016" customFormat="false" ht="15" hidden="false" customHeight="false" outlineLevel="0" collapsed="false">
      <c r="A1016" s="32" t="s">
        <v>1954</v>
      </c>
      <c r="B1016" s="32" t="s">
        <v>23</v>
      </c>
      <c r="C1016" s="32" t="s">
        <v>1955</v>
      </c>
      <c r="D1016" s="32" t="s">
        <v>126</v>
      </c>
      <c r="E1016" s="33" t="n">
        <v>8430942013288</v>
      </c>
      <c r="F1016" s="33" t="n">
        <v>4</v>
      </c>
      <c r="G1016" s="34" t="n">
        <v>52.13</v>
      </c>
      <c r="H1016" s="33" t="n">
        <v>69</v>
      </c>
      <c r="I1016" s="34" t="n">
        <f aca="false">G1016*((100-H1016)/100)</f>
        <v>16.1603</v>
      </c>
      <c r="J1016" s="35"/>
      <c r="K1016" s="36" t="n">
        <f aca="false">+F1016*J1016</f>
        <v>0</v>
      </c>
      <c r="L1016" s="37" t="n">
        <f aca="false">I1016*K1016</f>
        <v>0</v>
      </c>
    </row>
    <row r="1017" customFormat="false" ht="15" hidden="false" customHeight="false" outlineLevel="0" collapsed="false">
      <c r="A1017" s="32" t="s">
        <v>1956</v>
      </c>
      <c r="B1017" s="32" t="s">
        <v>23</v>
      </c>
      <c r="C1017" s="32" t="s">
        <v>1957</v>
      </c>
      <c r="D1017" s="32" t="s">
        <v>126</v>
      </c>
      <c r="E1017" s="33" t="n">
        <v>8430942013332</v>
      </c>
      <c r="F1017" s="33" t="n">
        <v>4</v>
      </c>
      <c r="G1017" s="34" t="n">
        <v>62.3</v>
      </c>
      <c r="H1017" s="33" t="n">
        <v>69</v>
      </c>
      <c r="I1017" s="34" t="n">
        <f aca="false">G1017*((100-H1017)/100)</f>
        <v>19.313</v>
      </c>
      <c r="J1017" s="35"/>
      <c r="K1017" s="36" t="n">
        <f aca="false">+F1017*J1017</f>
        <v>0</v>
      </c>
      <c r="L1017" s="37" t="n">
        <f aca="false">I1017*K1017</f>
        <v>0</v>
      </c>
    </row>
    <row r="1018" customFormat="false" ht="15" hidden="false" customHeight="false" outlineLevel="0" collapsed="false">
      <c r="A1018" s="32" t="s">
        <v>1958</v>
      </c>
      <c r="B1018" s="32" t="s">
        <v>23</v>
      </c>
      <c r="C1018" s="32" t="s">
        <v>1959</v>
      </c>
      <c r="D1018" s="32" t="s">
        <v>126</v>
      </c>
      <c r="E1018" s="33" t="n">
        <v>8430942013370</v>
      </c>
      <c r="F1018" s="33" t="n">
        <v>1</v>
      </c>
      <c r="G1018" s="34" t="n">
        <v>128.13</v>
      </c>
      <c r="H1018" s="33" t="n">
        <v>69</v>
      </c>
      <c r="I1018" s="34" t="n">
        <f aca="false">G1018*((100-H1018)/100)</f>
        <v>39.7203</v>
      </c>
      <c r="J1018" s="35"/>
      <c r="K1018" s="36" t="n">
        <f aca="false">+F1018*J1018</f>
        <v>0</v>
      </c>
      <c r="L1018" s="37" t="n">
        <f aca="false">I1018*K1018</f>
        <v>0</v>
      </c>
    </row>
    <row r="1019" customFormat="false" ht="15" hidden="false" customHeight="false" outlineLevel="0" collapsed="false">
      <c r="A1019" s="32" t="s">
        <v>1960</v>
      </c>
      <c r="B1019" s="32" t="s">
        <v>23</v>
      </c>
      <c r="C1019" s="32" t="s">
        <v>1961</v>
      </c>
      <c r="D1019" s="32" t="s">
        <v>126</v>
      </c>
      <c r="E1019" s="33" t="n">
        <v>8430942013417</v>
      </c>
      <c r="F1019" s="33" t="n">
        <v>1</v>
      </c>
      <c r="G1019" s="34" t="n">
        <v>165.78</v>
      </c>
      <c r="H1019" s="33" t="n">
        <v>69</v>
      </c>
      <c r="I1019" s="34" t="n">
        <f aca="false">G1019*((100-H1019)/100)</f>
        <v>51.3918</v>
      </c>
      <c r="J1019" s="35"/>
      <c r="K1019" s="36" t="n">
        <f aca="false">+F1019*J1019</f>
        <v>0</v>
      </c>
      <c r="L1019" s="37" t="n">
        <f aca="false">I1019*K1019</f>
        <v>0</v>
      </c>
    </row>
    <row r="1020" customFormat="false" ht="15" hidden="false" customHeight="false" outlineLevel="0" collapsed="false">
      <c r="A1020" s="32" t="s">
        <v>1962</v>
      </c>
      <c r="B1020" s="32" t="s">
        <v>23</v>
      </c>
      <c r="C1020" s="32" t="s">
        <v>1963</v>
      </c>
      <c r="D1020" s="32" t="s">
        <v>126</v>
      </c>
      <c r="E1020" s="33" t="n">
        <v>8430942013455</v>
      </c>
      <c r="F1020" s="33" t="n">
        <v>1</v>
      </c>
      <c r="G1020" s="34" t="n">
        <v>215.86</v>
      </c>
      <c r="H1020" s="33" t="n">
        <v>69</v>
      </c>
      <c r="I1020" s="34" t="n">
        <f aca="false">G1020*((100-H1020)/100)</f>
        <v>66.9166</v>
      </c>
      <c r="J1020" s="35"/>
      <c r="K1020" s="36" t="n">
        <f aca="false">+F1020*J1020</f>
        <v>0</v>
      </c>
      <c r="L1020" s="37" t="n">
        <f aca="false">I1020*K1020</f>
        <v>0</v>
      </c>
    </row>
    <row r="1021" customFormat="false" ht="15" hidden="false" customHeight="false" outlineLevel="0" collapsed="false">
      <c r="A1021" s="32" t="s">
        <v>1964</v>
      </c>
      <c r="B1021" s="32" t="s">
        <v>23</v>
      </c>
      <c r="C1021" s="32" t="s">
        <v>1965</v>
      </c>
      <c r="D1021" s="32" t="s">
        <v>424</v>
      </c>
      <c r="E1021" s="33" t="n">
        <v>8430942012328</v>
      </c>
      <c r="F1021" s="33" t="n">
        <v>24</v>
      </c>
      <c r="G1021" s="34" t="n">
        <v>11.24</v>
      </c>
      <c r="H1021" s="33" t="n">
        <v>69</v>
      </c>
      <c r="I1021" s="34" t="n">
        <f aca="false">G1021*((100-H1021)/100)</f>
        <v>3.4844</v>
      </c>
      <c r="J1021" s="35"/>
      <c r="K1021" s="36" t="n">
        <f aca="false">+F1021*J1021</f>
        <v>0</v>
      </c>
      <c r="L1021" s="37" t="n">
        <f aca="false">I1021*K1021</f>
        <v>0</v>
      </c>
    </row>
    <row r="1022" customFormat="false" ht="15" hidden="false" customHeight="false" outlineLevel="0" collapsed="false">
      <c r="A1022" s="32" t="s">
        <v>1966</v>
      </c>
      <c r="B1022" s="32" t="s">
        <v>23</v>
      </c>
      <c r="C1022" s="32" t="s">
        <v>1967</v>
      </c>
      <c r="D1022" s="32" t="s">
        <v>424</v>
      </c>
      <c r="E1022" s="33" t="n">
        <v>8430942012366</v>
      </c>
      <c r="F1022" s="33" t="n">
        <v>24</v>
      </c>
      <c r="G1022" s="34" t="n">
        <v>11.24</v>
      </c>
      <c r="H1022" s="33" t="n">
        <v>69</v>
      </c>
      <c r="I1022" s="34" t="n">
        <f aca="false">G1022*((100-H1022)/100)</f>
        <v>3.4844</v>
      </c>
      <c r="J1022" s="35"/>
      <c r="K1022" s="36" t="n">
        <f aca="false">+F1022*J1022</f>
        <v>0</v>
      </c>
      <c r="L1022" s="37" t="n">
        <f aca="false">I1022*K1022</f>
        <v>0</v>
      </c>
    </row>
    <row r="1023" customFormat="false" ht="15" hidden="false" customHeight="false" outlineLevel="0" collapsed="false">
      <c r="A1023" s="32" t="s">
        <v>1968</v>
      </c>
      <c r="B1023" s="32" t="s">
        <v>23</v>
      </c>
      <c r="C1023" s="32" t="s">
        <v>1969</v>
      </c>
      <c r="D1023" s="32" t="s">
        <v>424</v>
      </c>
      <c r="E1023" s="33" t="n">
        <v>8430942012441</v>
      </c>
      <c r="F1023" s="33" t="n">
        <v>24</v>
      </c>
      <c r="G1023" s="34" t="n">
        <v>11.24</v>
      </c>
      <c r="H1023" s="33" t="n">
        <v>69</v>
      </c>
      <c r="I1023" s="34" t="n">
        <f aca="false">G1023*((100-H1023)/100)</f>
        <v>3.4844</v>
      </c>
      <c r="J1023" s="35"/>
      <c r="K1023" s="36" t="n">
        <f aca="false">+F1023*J1023</f>
        <v>0</v>
      </c>
      <c r="L1023" s="37" t="n">
        <f aca="false">I1023*K1023</f>
        <v>0</v>
      </c>
    </row>
    <row r="1024" customFormat="false" ht="15" hidden="false" customHeight="false" outlineLevel="0" collapsed="false">
      <c r="A1024" s="38" t="s">
        <v>1970</v>
      </c>
      <c r="B1024" s="38" t="n">
        <v>660578</v>
      </c>
      <c r="C1024" s="38" t="s">
        <v>1971</v>
      </c>
      <c r="D1024" s="38" t="s">
        <v>424</v>
      </c>
      <c r="E1024" s="39" t="n">
        <v>8430942012557</v>
      </c>
      <c r="F1024" s="39" t="n">
        <v>24</v>
      </c>
      <c r="G1024" s="40" t="n">
        <v>11.78</v>
      </c>
      <c r="H1024" s="39" t="n">
        <v>69</v>
      </c>
      <c r="I1024" s="40" t="n">
        <f aca="false">G1024*((100-H1024)/100)</f>
        <v>3.6518</v>
      </c>
      <c r="J1024" s="41"/>
      <c r="K1024" s="42" t="n">
        <f aca="false">+F1024*J1024</f>
        <v>0</v>
      </c>
      <c r="L1024" s="43" t="n">
        <f aca="false">I1024*K1024</f>
        <v>0</v>
      </c>
    </row>
    <row r="1025" customFormat="false" ht="15" hidden="false" customHeight="false" outlineLevel="0" collapsed="false">
      <c r="A1025" s="38" t="s">
        <v>1972</v>
      </c>
      <c r="B1025" s="38" t="n">
        <v>660685</v>
      </c>
      <c r="C1025" s="38" t="s">
        <v>1973</v>
      </c>
      <c r="D1025" s="38" t="s">
        <v>424</v>
      </c>
      <c r="E1025" s="39" t="n">
        <v>8430942012649</v>
      </c>
      <c r="F1025" s="39" t="n">
        <v>24</v>
      </c>
      <c r="G1025" s="40" t="n">
        <v>13.31</v>
      </c>
      <c r="H1025" s="39" t="n">
        <v>69</v>
      </c>
      <c r="I1025" s="40" t="n">
        <f aca="false">G1025*((100-H1025)/100)</f>
        <v>4.1261</v>
      </c>
      <c r="J1025" s="41"/>
      <c r="K1025" s="42" t="n">
        <f aca="false">+F1025*J1025</f>
        <v>0</v>
      </c>
      <c r="L1025" s="43" t="n">
        <f aca="false">I1025*K1025</f>
        <v>0</v>
      </c>
    </row>
    <row r="1026" customFormat="false" ht="15" hidden="false" customHeight="false" outlineLevel="0" collapsed="false">
      <c r="A1026" s="32" t="s">
        <v>1974</v>
      </c>
      <c r="B1026" s="32" t="s">
        <v>23</v>
      </c>
      <c r="C1026" s="32" t="s">
        <v>1975</v>
      </c>
      <c r="D1026" s="32" t="s">
        <v>424</v>
      </c>
      <c r="E1026" s="33" t="n">
        <v>8430942012731</v>
      </c>
      <c r="F1026" s="33" t="n">
        <v>24</v>
      </c>
      <c r="G1026" s="34" t="n">
        <v>14.63</v>
      </c>
      <c r="H1026" s="33" t="n">
        <v>69</v>
      </c>
      <c r="I1026" s="34" t="n">
        <f aca="false">G1026*((100-H1026)/100)</f>
        <v>4.5353</v>
      </c>
      <c r="J1026" s="35"/>
      <c r="K1026" s="36" t="n">
        <f aca="false">+F1026*J1026</f>
        <v>0</v>
      </c>
      <c r="L1026" s="37" t="n">
        <f aca="false">I1026*K1026</f>
        <v>0</v>
      </c>
    </row>
    <row r="1027" customFormat="false" ht="15" hidden="false" customHeight="false" outlineLevel="0" collapsed="false">
      <c r="A1027" s="32" t="s">
        <v>1976</v>
      </c>
      <c r="B1027" s="32" t="s">
        <v>23</v>
      </c>
      <c r="C1027" s="32" t="s">
        <v>1977</v>
      </c>
      <c r="D1027" s="32" t="s">
        <v>424</v>
      </c>
      <c r="E1027" s="33" t="n">
        <v>8430942012809</v>
      </c>
      <c r="F1027" s="33" t="n">
        <v>24</v>
      </c>
      <c r="G1027" s="34" t="n">
        <v>15.12</v>
      </c>
      <c r="H1027" s="33" t="n">
        <v>69</v>
      </c>
      <c r="I1027" s="34" t="n">
        <f aca="false">G1027*((100-H1027)/100)</f>
        <v>4.6872</v>
      </c>
      <c r="J1027" s="35"/>
      <c r="K1027" s="36" t="n">
        <f aca="false">+F1027*J1027</f>
        <v>0</v>
      </c>
      <c r="L1027" s="37" t="n">
        <f aca="false">I1027*K1027</f>
        <v>0</v>
      </c>
    </row>
    <row r="1028" customFormat="false" ht="15" hidden="false" customHeight="false" outlineLevel="0" collapsed="false">
      <c r="A1028" s="32" t="s">
        <v>1978</v>
      </c>
      <c r="B1028" s="32" t="s">
        <v>23</v>
      </c>
      <c r="C1028" s="32" t="s">
        <v>1979</v>
      </c>
      <c r="D1028" s="32" t="s">
        <v>424</v>
      </c>
      <c r="E1028" s="33" t="n">
        <v>8430942012830</v>
      </c>
      <c r="F1028" s="33" t="n">
        <v>24</v>
      </c>
      <c r="G1028" s="34" t="n">
        <v>16.93</v>
      </c>
      <c r="H1028" s="33" t="n">
        <v>69</v>
      </c>
      <c r="I1028" s="34" t="n">
        <f aca="false">G1028*((100-H1028)/100)</f>
        <v>5.2483</v>
      </c>
      <c r="J1028" s="35"/>
      <c r="K1028" s="36" t="n">
        <f aca="false">+F1028*J1028</f>
        <v>0</v>
      </c>
      <c r="L1028" s="37" t="n">
        <f aca="false">I1028*K1028</f>
        <v>0</v>
      </c>
    </row>
    <row r="1029" customFormat="false" ht="15" hidden="false" customHeight="false" outlineLevel="0" collapsed="false">
      <c r="A1029" s="32" t="s">
        <v>1980</v>
      </c>
      <c r="B1029" s="32" t="s">
        <v>23</v>
      </c>
      <c r="C1029" s="32" t="s">
        <v>1981</v>
      </c>
      <c r="D1029" s="32" t="s">
        <v>424</v>
      </c>
      <c r="E1029" s="33" t="n">
        <v>8430942012885</v>
      </c>
      <c r="F1029" s="33" t="n">
        <v>24</v>
      </c>
      <c r="G1029" s="34" t="n">
        <v>18.44</v>
      </c>
      <c r="H1029" s="33" t="n">
        <v>69</v>
      </c>
      <c r="I1029" s="34" t="n">
        <f aca="false">G1029*((100-H1029)/100)</f>
        <v>5.7164</v>
      </c>
      <c r="J1029" s="35"/>
      <c r="K1029" s="36" t="n">
        <f aca="false">+F1029*J1029</f>
        <v>0</v>
      </c>
      <c r="L1029" s="37" t="n">
        <f aca="false">I1029*K1029</f>
        <v>0</v>
      </c>
    </row>
    <row r="1030" customFormat="false" ht="15" hidden="false" customHeight="false" outlineLevel="0" collapsed="false">
      <c r="A1030" s="32" t="s">
        <v>1982</v>
      </c>
      <c r="B1030" s="32" t="s">
        <v>23</v>
      </c>
      <c r="C1030" s="32" t="s">
        <v>1983</v>
      </c>
      <c r="D1030" s="32" t="s">
        <v>424</v>
      </c>
      <c r="E1030" s="33" t="n">
        <v>8430942012311</v>
      </c>
      <c r="F1030" s="33" t="n">
        <v>20</v>
      </c>
      <c r="G1030" s="34" t="n">
        <v>11.24</v>
      </c>
      <c r="H1030" s="33" t="n">
        <v>69</v>
      </c>
      <c r="I1030" s="34" t="n">
        <f aca="false">G1030*((100-H1030)/100)</f>
        <v>3.4844</v>
      </c>
      <c r="J1030" s="35"/>
      <c r="K1030" s="36" t="n">
        <f aca="false">+F1030*J1030</f>
        <v>0</v>
      </c>
      <c r="L1030" s="37" t="n">
        <f aca="false">I1030*K1030</f>
        <v>0</v>
      </c>
    </row>
    <row r="1031" customFormat="false" ht="15" hidden="false" customHeight="false" outlineLevel="0" collapsed="false">
      <c r="A1031" s="32" t="s">
        <v>1984</v>
      </c>
      <c r="B1031" s="32" t="s">
        <v>23</v>
      </c>
      <c r="C1031" s="32" t="s">
        <v>1985</v>
      </c>
      <c r="D1031" s="32" t="s">
        <v>424</v>
      </c>
      <c r="E1031" s="33" t="n">
        <v>8430942012359</v>
      </c>
      <c r="F1031" s="33" t="n">
        <v>20</v>
      </c>
      <c r="G1031" s="34" t="n">
        <v>11.24</v>
      </c>
      <c r="H1031" s="33" t="n">
        <v>69</v>
      </c>
      <c r="I1031" s="34" t="n">
        <f aca="false">G1031*((100-H1031)/100)</f>
        <v>3.4844</v>
      </c>
      <c r="J1031" s="35"/>
      <c r="K1031" s="36" t="n">
        <f aca="false">+F1031*J1031</f>
        <v>0</v>
      </c>
      <c r="L1031" s="37" t="n">
        <f aca="false">I1031*K1031</f>
        <v>0</v>
      </c>
    </row>
    <row r="1032" customFormat="false" ht="15" hidden="false" customHeight="false" outlineLevel="0" collapsed="false">
      <c r="A1032" s="38" t="s">
        <v>1986</v>
      </c>
      <c r="B1032" s="38" t="n">
        <v>102004</v>
      </c>
      <c r="C1032" s="38" t="s">
        <v>1987</v>
      </c>
      <c r="D1032" s="38" t="s">
        <v>424</v>
      </c>
      <c r="E1032" s="39" t="n">
        <v>8430942012380</v>
      </c>
      <c r="F1032" s="39" t="n">
        <v>20</v>
      </c>
      <c r="G1032" s="40" t="n">
        <v>11.24</v>
      </c>
      <c r="H1032" s="39" t="n">
        <v>69</v>
      </c>
      <c r="I1032" s="40" t="n">
        <f aca="false">G1032*((100-H1032)/100)</f>
        <v>3.4844</v>
      </c>
      <c r="J1032" s="41"/>
      <c r="K1032" s="42" t="n">
        <f aca="false">+F1032*J1032</f>
        <v>0</v>
      </c>
      <c r="L1032" s="43" t="n">
        <f aca="false">I1032*K1032</f>
        <v>0</v>
      </c>
    </row>
    <row r="1033" customFormat="false" ht="15" hidden="false" customHeight="false" outlineLevel="0" collapsed="false">
      <c r="A1033" s="38" t="s">
        <v>1988</v>
      </c>
      <c r="B1033" s="38" t="n">
        <v>102006</v>
      </c>
      <c r="C1033" s="38" t="s">
        <v>1989</v>
      </c>
      <c r="D1033" s="38" t="s">
        <v>424</v>
      </c>
      <c r="E1033" s="39" t="n">
        <v>8430942012496</v>
      </c>
      <c r="F1033" s="39" t="n">
        <v>20</v>
      </c>
      <c r="G1033" s="40" t="n">
        <v>11.78</v>
      </c>
      <c r="H1033" s="39" t="n">
        <v>69</v>
      </c>
      <c r="I1033" s="40" t="n">
        <f aca="false">G1033*((100-H1033)/100)</f>
        <v>3.6518</v>
      </c>
      <c r="J1033" s="41"/>
      <c r="K1033" s="42" t="n">
        <f aca="false">+F1033*J1033</f>
        <v>0</v>
      </c>
      <c r="L1033" s="43" t="n">
        <f aca="false">I1033*K1033</f>
        <v>0</v>
      </c>
    </row>
    <row r="1034" customFormat="false" ht="15" hidden="false" customHeight="false" outlineLevel="0" collapsed="false">
      <c r="A1034" s="38" t="s">
        <v>1990</v>
      </c>
      <c r="B1034" s="38" t="n">
        <v>102007</v>
      </c>
      <c r="C1034" s="38" t="s">
        <v>1991</v>
      </c>
      <c r="D1034" s="38" t="s">
        <v>424</v>
      </c>
      <c r="E1034" s="39" t="n">
        <v>8430942012588</v>
      </c>
      <c r="F1034" s="39" t="n">
        <v>20</v>
      </c>
      <c r="G1034" s="40" t="n">
        <v>13.31</v>
      </c>
      <c r="H1034" s="39" t="n">
        <v>69</v>
      </c>
      <c r="I1034" s="40" t="n">
        <f aca="false">G1034*((100-H1034)/100)</f>
        <v>4.1261</v>
      </c>
      <c r="J1034" s="41"/>
      <c r="K1034" s="42" t="n">
        <f aca="false">+F1034*J1034</f>
        <v>0</v>
      </c>
      <c r="L1034" s="43" t="n">
        <f aca="false">I1034*K1034</f>
        <v>0</v>
      </c>
    </row>
    <row r="1035" customFormat="false" ht="15" hidden="false" customHeight="false" outlineLevel="0" collapsed="false">
      <c r="A1035" s="32" t="s">
        <v>1992</v>
      </c>
      <c r="B1035" s="32" t="s">
        <v>23</v>
      </c>
      <c r="C1035" s="32" t="s">
        <v>1993</v>
      </c>
      <c r="D1035" s="32" t="s">
        <v>424</v>
      </c>
      <c r="E1035" s="33" t="n">
        <v>8430942012663</v>
      </c>
      <c r="F1035" s="33" t="n">
        <v>20</v>
      </c>
      <c r="G1035" s="34" t="n">
        <v>14.63</v>
      </c>
      <c r="H1035" s="33" t="n">
        <v>69</v>
      </c>
      <c r="I1035" s="34" t="n">
        <f aca="false">G1035*((100-H1035)/100)</f>
        <v>4.5353</v>
      </c>
      <c r="J1035" s="35"/>
      <c r="K1035" s="36" t="n">
        <f aca="false">+F1035*J1035</f>
        <v>0</v>
      </c>
      <c r="L1035" s="37" t="n">
        <f aca="false">I1035*K1035</f>
        <v>0</v>
      </c>
    </row>
    <row r="1036" customFormat="false" ht="15" hidden="false" customHeight="false" outlineLevel="0" collapsed="false">
      <c r="A1036" s="32" t="s">
        <v>1994</v>
      </c>
      <c r="B1036" s="32" t="s">
        <v>23</v>
      </c>
      <c r="C1036" s="32" t="s">
        <v>1995</v>
      </c>
      <c r="D1036" s="32" t="s">
        <v>424</v>
      </c>
      <c r="E1036" s="33" t="n">
        <v>8430942012748</v>
      </c>
      <c r="F1036" s="33" t="n">
        <v>12</v>
      </c>
      <c r="G1036" s="34" t="n">
        <v>15.12</v>
      </c>
      <c r="H1036" s="33" t="n">
        <v>69</v>
      </c>
      <c r="I1036" s="34" t="n">
        <f aca="false">G1036*((100-H1036)/100)</f>
        <v>4.6872</v>
      </c>
      <c r="J1036" s="35"/>
      <c r="K1036" s="36" t="n">
        <f aca="false">+F1036*J1036</f>
        <v>0</v>
      </c>
      <c r="L1036" s="37" t="n">
        <f aca="false">I1036*K1036</f>
        <v>0</v>
      </c>
    </row>
    <row r="1037" customFormat="false" ht="15" hidden="false" customHeight="false" outlineLevel="0" collapsed="false">
      <c r="A1037" s="32" t="s">
        <v>1996</v>
      </c>
      <c r="B1037" s="32" t="s">
        <v>23</v>
      </c>
      <c r="C1037" s="32" t="s">
        <v>1997</v>
      </c>
      <c r="D1037" s="32" t="s">
        <v>424</v>
      </c>
      <c r="E1037" s="33" t="n">
        <v>8430942012823</v>
      </c>
      <c r="F1037" s="33" t="n">
        <v>12</v>
      </c>
      <c r="G1037" s="34" t="n">
        <v>16.93</v>
      </c>
      <c r="H1037" s="33" t="n">
        <v>69</v>
      </c>
      <c r="I1037" s="34" t="n">
        <f aca="false">G1037*((100-H1037)/100)</f>
        <v>5.2483</v>
      </c>
      <c r="J1037" s="35"/>
      <c r="K1037" s="36" t="n">
        <f aca="false">+F1037*J1037</f>
        <v>0</v>
      </c>
      <c r="L1037" s="37" t="n">
        <f aca="false">I1037*K1037</f>
        <v>0</v>
      </c>
    </row>
    <row r="1038" customFormat="false" ht="15" hidden="false" customHeight="false" outlineLevel="0" collapsed="false">
      <c r="A1038" s="38" t="s">
        <v>1998</v>
      </c>
      <c r="B1038" s="38" t="n">
        <v>102032</v>
      </c>
      <c r="C1038" s="38" t="s">
        <v>1999</v>
      </c>
      <c r="D1038" s="38" t="s">
        <v>424</v>
      </c>
      <c r="E1038" s="39" t="n">
        <v>8430942012854</v>
      </c>
      <c r="F1038" s="39" t="n">
        <v>12</v>
      </c>
      <c r="G1038" s="40" t="n">
        <v>18.44</v>
      </c>
      <c r="H1038" s="39" t="n">
        <v>69</v>
      </c>
      <c r="I1038" s="40" t="n">
        <f aca="false">G1038*((100-H1038)/100)</f>
        <v>5.7164</v>
      </c>
      <c r="J1038" s="41"/>
      <c r="K1038" s="42" t="n">
        <f aca="false">+F1038*J1038</f>
        <v>0</v>
      </c>
      <c r="L1038" s="43" t="n">
        <f aca="false">I1038*K1038</f>
        <v>0</v>
      </c>
    </row>
    <row r="1039" customFormat="false" ht="15" hidden="false" customHeight="false" outlineLevel="0" collapsed="false">
      <c r="A1039" s="32" t="s">
        <v>2000</v>
      </c>
      <c r="B1039" s="32" t="s">
        <v>23</v>
      </c>
      <c r="C1039" s="32" t="s">
        <v>2001</v>
      </c>
      <c r="D1039" s="32" t="s">
        <v>424</v>
      </c>
      <c r="E1039" s="33" t="n">
        <v>8430942012434</v>
      </c>
      <c r="F1039" s="33" t="n">
        <v>24</v>
      </c>
      <c r="G1039" s="34" t="n">
        <v>17.35</v>
      </c>
      <c r="H1039" s="33" t="n">
        <v>69</v>
      </c>
      <c r="I1039" s="34" t="n">
        <f aca="false">G1039*((100-H1039)/100)</f>
        <v>5.3785</v>
      </c>
      <c r="J1039" s="35"/>
      <c r="K1039" s="36" t="n">
        <f aca="false">+F1039*J1039</f>
        <v>0</v>
      </c>
      <c r="L1039" s="37" t="n">
        <f aca="false">I1039*K1039</f>
        <v>0</v>
      </c>
    </row>
    <row r="1040" customFormat="false" ht="15" hidden="false" customHeight="false" outlineLevel="0" collapsed="false">
      <c r="A1040" s="32" t="s">
        <v>2002</v>
      </c>
      <c r="B1040" s="32" t="s">
        <v>23</v>
      </c>
      <c r="C1040" s="32" t="s">
        <v>2003</v>
      </c>
      <c r="D1040" s="32" t="s">
        <v>424</v>
      </c>
      <c r="E1040" s="33" t="n">
        <v>8430942012427</v>
      </c>
      <c r="F1040" s="33" t="n">
        <v>20</v>
      </c>
      <c r="G1040" s="34" t="n">
        <v>17.35</v>
      </c>
      <c r="H1040" s="33" t="n">
        <v>69</v>
      </c>
      <c r="I1040" s="34" t="n">
        <f aca="false">G1040*((100-H1040)/100)</f>
        <v>5.3785</v>
      </c>
      <c r="J1040" s="35"/>
      <c r="K1040" s="36" t="n">
        <f aca="false">+F1040*J1040</f>
        <v>0</v>
      </c>
      <c r="L1040" s="37" t="n">
        <f aca="false">I1040*K1040</f>
        <v>0</v>
      </c>
    </row>
    <row r="1041" customFormat="false" ht="15" hidden="false" customHeight="false" outlineLevel="0" collapsed="false">
      <c r="A1041" s="32" t="s">
        <v>2004</v>
      </c>
      <c r="B1041" s="32" t="s">
        <v>23</v>
      </c>
      <c r="C1041" s="32" t="s">
        <v>2005</v>
      </c>
      <c r="D1041" s="32" t="s">
        <v>424</v>
      </c>
      <c r="E1041" s="33" t="n">
        <v>8430942012540</v>
      </c>
      <c r="F1041" s="33" t="n">
        <v>24</v>
      </c>
      <c r="G1041" s="34" t="n">
        <v>18.05</v>
      </c>
      <c r="H1041" s="33" t="n">
        <v>69</v>
      </c>
      <c r="I1041" s="34" t="n">
        <f aca="false">G1041*((100-H1041)/100)</f>
        <v>5.5955</v>
      </c>
      <c r="J1041" s="35"/>
      <c r="K1041" s="36" t="n">
        <f aca="false">+F1041*J1041</f>
        <v>0</v>
      </c>
      <c r="L1041" s="37" t="n">
        <f aca="false">I1041*K1041</f>
        <v>0</v>
      </c>
    </row>
    <row r="1042" customFormat="false" ht="15" hidden="false" customHeight="false" outlineLevel="0" collapsed="false">
      <c r="A1042" s="32" t="s">
        <v>2006</v>
      </c>
      <c r="B1042" s="32" t="s">
        <v>23</v>
      </c>
      <c r="C1042" s="32" t="s">
        <v>2007</v>
      </c>
      <c r="D1042" s="32" t="s">
        <v>424</v>
      </c>
      <c r="E1042" s="33" t="n">
        <v>8430942012533</v>
      </c>
      <c r="F1042" s="33" t="n">
        <v>20</v>
      </c>
      <c r="G1042" s="34" t="n">
        <v>18.05</v>
      </c>
      <c r="H1042" s="33" t="n">
        <v>69</v>
      </c>
      <c r="I1042" s="34" t="n">
        <f aca="false">G1042*((100-H1042)/100)</f>
        <v>5.5955</v>
      </c>
      <c r="J1042" s="35"/>
      <c r="K1042" s="36" t="n">
        <f aca="false">+F1042*J1042</f>
        <v>0</v>
      </c>
      <c r="L1042" s="37" t="n">
        <f aca="false">I1042*K1042</f>
        <v>0</v>
      </c>
    </row>
    <row r="1043" customFormat="false" ht="15" hidden="false" customHeight="false" outlineLevel="0" collapsed="false">
      <c r="A1043" s="32" t="s">
        <v>2008</v>
      </c>
      <c r="B1043" s="32" t="s">
        <v>23</v>
      </c>
      <c r="C1043" s="32" t="s">
        <v>2009</v>
      </c>
      <c r="D1043" s="32" t="s">
        <v>424</v>
      </c>
      <c r="E1043" s="33" t="n">
        <v>8430942012632</v>
      </c>
      <c r="F1043" s="33" t="n">
        <v>24</v>
      </c>
      <c r="G1043" s="34" t="n">
        <v>19.25</v>
      </c>
      <c r="H1043" s="33" t="n">
        <v>69</v>
      </c>
      <c r="I1043" s="34" t="n">
        <f aca="false">G1043*((100-H1043)/100)</f>
        <v>5.9675</v>
      </c>
      <c r="J1043" s="35"/>
      <c r="K1043" s="36" t="n">
        <f aca="false">+F1043*J1043</f>
        <v>0</v>
      </c>
      <c r="L1043" s="37" t="n">
        <f aca="false">I1043*K1043</f>
        <v>0</v>
      </c>
    </row>
    <row r="1044" customFormat="false" ht="15" hidden="false" customHeight="false" outlineLevel="0" collapsed="false">
      <c r="A1044" s="32" t="s">
        <v>2010</v>
      </c>
      <c r="B1044" s="32" t="s">
        <v>23</v>
      </c>
      <c r="C1044" s="32" t="s">
        <v>2011</v>
      </c>
      <c r="D1044" s="32" t="s">
        <v>424</v>
      </c>
      <c r="E1044" s="33" t="n">
        <v>8430942012625</v>
      </c>
      <c r="F1044" s="33" t="n">
        <v>20</v>
      </c>
      <c r="G1044" s="34" t="n">
        <v>19.25</v>
      </c>
      <c r="H1044" s="33" t="n">
        <v>69</v>
      </c>
      <c r="I1044" s="34" t="n">
        <f aca="false">G1044*((100-H1044)/100)</f>
        <v>5.9675</v>
      </c>
      <c r="J1044" s="35"/>
      <c r="K1044" s="36" t="n">
        <f aca="false">+F1044*J1044</f>
        <v>0</v>
      </c>
      <c r="L1044" s="37" t="n">
        <f aca="false">I1044*K1044</f>
        <v>0</v>
      </c>
    </row>
    <row r="1045" customFormat="false" ht="15" hidden="false" customHeight="false" outlineLevel="0" collapsed="false">
      <c r="A1045" s="32" t="s">
        <v>2012</v>
      </c>
      <c r="B1045" s="32" t="s">
        <v>23</v>
      </c>
      <c r="C1045" s="32" t="s">
        <v>2013</v>
      </c>
      <c r="D1045" s="32" t="s">
        <v>424</v>
      </c>
      <c r="E1045" s="33" t="n">
        <v>8430942012717</v>
      </c>
      <c r="F1045" s="33" t="n">
        <v>24</v>
      </c>
      <c r="G1045" s="34" t="n">
        <v>19.33</v>
      </c>
      <c r="H1045" s="33" t="n">
        <v>69</v>
      </c>
      <c r="I1045" s="34" t="n">
        <f aca="false">G1045*((100-H1045)/100)</f>
        <v>5.9923</v>
      </c>
      <c r="J1045" s="35"/>
      <c r="K1045" s="36" t="n">
        <f aca="false">+F1045*J1045</f>
        <v>0</v>
      </c>
      <c r="L1045" s="37" t="n">
        <f aca="false">I1045*K1045</f>
        <v>0</v>
      </c>
    </row>
    <row r="1046" customFormat="false" ht="15" hidden="false" customHeight="false" outlineLevel="0" collapsed="false">
      <c r="A1046" s="32" t="s">
        <v>2014</v>
      </c>
      <c r="B1046" s="32" t="s">
        <v>23</v>
      </c>
      <c r="C1046" s="32" t="s">
        <v>2015</v>
      </c>
      <c r="D1046" s="32" t="s">
        <v>424</v>
      </c>
      <c r="E1046" s="33" t="n">
        <v>8430942012700</v>
      </c>
      <c r="F1046" s="33" t="n">
        <v>20</v>
      </c>
      <c r="G1046" s="34" t="n">
        <v>19.33</v>
      </c>
      <c r="H1046" s="33" t="n">
        <v>69</v>
      </c>
      <c r="I1046" s="34" t="n">
        <f aca="false">G1046*((100-H1046)/100)</f>
        <v>5.9923</v>
      </c>
      <c r="J1046" s="35"/>
      <c r="K1046" s="36" t="n">
        <f aca="false">+F1046*J1046</f>
        <v>0</v>
      </c>
      <c r="L1046" s="37" t="n">
        <f aca="false">I1046*K1046</f>
        <v>0</v>
      </c>
    </row>
    <row r="1047" customFormat="false" ht="15" hidden="false" customHeight="false" outlineLevel="0" collapsed="false">
      <c r="A1047" s="32" t="s">
        <v>2016</v>
      </c>
      <c r="B1047" s="32" t="s">
        <v>23</v>
      </c>
      <c r="C1047" s="32" t="s">
        <v>2017</v>
      </c>
      <c r="D1047" s="32" t="s">
        <v>424</v>
      </c>
      <c r="E1047" s="33" t="n">
        <v>8430942012878</v>
      </c>
      <c r="F1047" s="33" t="n">
        <v>16</v>
      </c>
      <c r="G1047" s="34" t="n">
        <v>22.2</v>
      </c>
      <c r="H1047" s="33" t="n">
        <v>69</v>
      </c>
      <c r="I1047" s="34" t="n">
        <f aca="false">G1047*((100-H1047)/100)</f>
        <v>6.882</v>
      </c>
      <c r="J1047" s="35"/>
      <c r="K1047" s="36" t="n">
        <f aca="false">+F1047*J1047</f>
        <v>0</v>
      </c>
      <c r="L1047" s="37" t="n">
        <f aca="false">I1047*K1047</f>
        <v>0</v>
      </c>
    </row>
    <row r="1048" customFormat="false" ht="15" hidden="false" customHeight="false" outlineLevel="0" collapsed="false">
      <c r="A1048" s="32" t="s">
        <v>2018</v>
      </c>
      <c r="B1048" s="32" t="s">
        <v>23</v>
      </c>
      <c r="C1048" s="32" t="s">
        <v>2019</v>
      </c>
      <c r="D1048" s="32" t="s">
        <v>424</v>
      </c>
      <c r="E1048" s="33" t="n">
        <v>8430942012861</v>
      </c>
      <c r="F1048" s="33" t="n">
        <v>12</v>
      </c>
      <c r="G1048" s="34" t="n">
        <v>22.2</v>
      </c>
      <c r="H1048" s="33" t="n">
        <v>69</v>
      </c>
      <c r="I1048" s="34" t="n">
        <f aca="false">G1048*((100-H1048)/100)</f>
        <v>6.882</v>
      </c>
      <c r="J1048" s="35"/>
      <c r="K1048" s="36" t="n">
        <f aca="false">+F1048*J1048</f>
        <v>0</v>
      </c>
      <c r="L1048" s="37" t="n">
        <f aca="false">I1048*K1048</f>
        <v>0</v>
      </c>
    </row>
    <row r="1049" customFormat="false" ht="15" hidden="false" customHeight="false" outlineLevel="0" collapsed="false">
      <c r="A1049" s="32" t="s">
        <v>2020</v>
      </c>
      <c r="B1049" s="32" t="s">
        <v>23</v>
      </c>
      <c r="C1049" s="32" t="s">
        <v>2021</v>
      </c>
      <c r="D1049" s="32" t="s">
        <v>211</v>
      </c>
      <c r="E1049" s="33" t="n">
        <v>8430942003371</v>
      </c>
      <c r="F1049" s="33" t="n">
        <v>1</v>
      </c>
      <c r="G1049" s="34" t="n">
        <v>30.75</v>
      </c>
      <c r="H1049" s="33" t="n">
        <v>69</v>
      </c>
      <c r="I1049" s="34" t="n">
        <f aca="false">G1049*((100-H1049)/100)</f>
        <v>9.5325</v>
      </c>
      <c r="J1049" s="35"/>
      <c r="K1049" s="36" t="n">
        <f aca="false">+F1049*J1049</f>
        <v>0</v>
      </c>
      <c r="L1049" s="37" t="n">
        <f aca="false">I1049*K1049</f>
        <v>0</v>
      </c>
    </row>
    <row r="1050" customFormat="false" ht="15" hidden="false" customHeight="false" outlineLevel="0" collapsed="false">
      <c r="A1050" s="32" t="s">
        <v>2022</v>
      </c>
      <c r="B1050" s="32" t="s">
        <v>23</v>
      </c>
      <c r="C1050" s="32" t="s">
        <v>2023</v>
      </c>
      <c r="D1050" s="32" t="s">
        <v>211</v>
      </c>
      <c r="E1050" s="33" t="n">
        <v>8430942030230</v>
      </c>
      <c r="F1050" s="33" t="n">
        <v>1</v>
      </c>
      <c r="G1050" s="34" t="n">
        <v>50.57</v>
      </c>
      <c r="H1050" s="33" t="n">
        <v>69</v>
      </c>
      <c r="I1050" s="34" t="n">
        <f aca="false">G1050*((100-H1050)/100)</f>
        <v>15.6767</v>
      </c>
      <c r="J1050" s="35"/>
      <c r="K1050" s="36" t="n">
        <f aca="false">+F1050*J1050</f>
        <v>0</v>
      </c>
      <c r="L1050" s="37" t="n">
        <f aca="false">I1050*K1050</f>
        <v>0</v>
      </c>
    </row>
    <row r="1051" customFormat="false" ht="15" hidden="false" customHeight="false" outlineLevel="0" collapsed="false">
      <c r="A1051" s="32" t="s">
        <v>2024</v>
      </c>
      <c r="B1051" s="32" t="s">
        <v>23</v>
      </c>
      <c r="C1051" s="32" t="s">
        <v>2025</v>
      </c>
      <c r="D1051" s="32" t="s">
        <v>211</v>
      </c>
      <c r="E1051" s="33" t="n">
        <v>8430942003395</v>
      </c>
      <c r="F1051" s="33" t="n">
        <v>1</v>
      </c>
      <c r="G1051" s="34" t="n">
        <v>32.75</v>
      </c>
      <c r="H1051" s="33" t="n">
        <v>69</v>
      </c>
      <c r="I1051" s="34" t="n">
        <f aca="false">G1051*((100-H1051)/100)</f>
        <v>10.1525</v>
      </c>
      <c r="J1051" s="35"/>
      <c r="K1051" s="36" t="n">
        <f aca="false">+F1051*J1051</f>
        <v>0</v>
      </c>
      <c r="L1051" s="37" t="n">
        <f aca="false">I1051*K1051</f>
        <v>0</v>
      </c>
    </row>
    <row r="1052" customFormat="false" ht="15" hidden="false" customHeight="false" outlineLevel="0" collapsed="false">
      <c r="A1052" s="32" t="s">
        <v>2026</v>
      </c>
      <c r="B1052" s="32" t="s">
        <v>23</v>
      </c>
      <c r="C1052" s="32" t="s">
        <v>2027</v>
      </c>
      <c r="D1052" s="32" t="s">
        <v>211</v>
      </c>
      <c r="E1052" s="33" t="n">
        <v>8430942003401</v>
      </c>
      <c r="F1052" s="33" t="n">
        <v>1</v>
      </c>
      <c r="G1052" s="34" t="n">
        <v>34.11</v>
      </c>
      <c r="H1052" s="33" t="n">
        <v>69</v>
      </c>
      <c r="I1052" s="34" t="n">
        <f aca="false">G1052*((100-H1052)/100)</f>
        <v>10.5741</v>
      </c>
      <c r="J1052" s="35"/>
      <c r="K1052" s="36" t="n">
        <f aca="false">+F1052*J1052</f>
        <v>0</v>
      </c>
      <c r="L1052" s="37" t="n">
        <f aca="false">I1052*K1052</f>
        <v>0</v>
      </c>
    </row>
    <row r="1053" customFormat="false" ht="15" hidden="false" customHeight="false" outlineLevel="0" collapsed="false">
      <c r="A1053" s="32" t="s">
        <v>2028</v>
      </c>
      <c r="B1053" s="32" t="s">
        <v>23</v>
      </c>
      <c r="C1053" s="32" t="s">
        <v>2029</v>
      </c>
      <c r="D1053" s="32" t="s">
        <v>211</v>
      </c>
      <c r="E1053" s="33" t="n">
        <v>8430942003425</v>
      </c>
      <c r="F1053" s="33" t="n">
        <v>1</v>
      </c>
      <c r="G1053" s="34" t="n">
        <v>34.94</v>
      </c>
      <c r="H1053" s="33" t="n">
        <v>69</v>
      </c>
      <c r="I1053" s="34" t="n">
        <f aca="false">G1053*((100-H1053)/100)</f>
        <v>10.8314</v>
      </c>
      <c r="J1053" s="35"/>
      <c r="K1053" s="36" t="n">
        <f aca="false">+F1053*J1053</f>
        <v>0</v>
      </c>
      <c r="L1053" s="37" t="n">
        <f aca="false">I1053*K1053</f>
        <v>0</v>
      </c>
    </row>
    <row r="1054" customFormat="false" ht="15" hidden="false" customHeight="false" outlineLevel="0" collapsed="false">
      <c r="A1054" s="32" t="s">
        <v>2030</v>
      </c>
      <c r="B1054" s="32" t="s">
        <v>23</v>
      </c>
      <c r="C1054" s="32" t="s">
        <v>2031</v>
      </c>
      <c r="D1054" s="32" t="s">
        <v>211</v>
      </c>
      <c r="E1054" s="33" t="n">
        <v>8430942003432</v>
      </c>
      <c r="F1054" s="33" t="n">
        <v>1</v>
      </c>
      <c r="G1054" s="34" t="n">
        <v>35.45</v>
      </c>
      <c r="H1054" s="33" t="n">
        <v>69</v>
      </c>
      <c r="I1054" s="34" t="n">
        <f aca="false">G1054*((100-H1054)/100)</f>
        <v>10.9895</v>
      </c>
      <c r="J1054" s="35"/>
      <c r="K1054" s="36" t="n">
        <f aca="false">+F1054*J1054</f>
        <v>0</v>
      </c>
      <c r="L1054" s="37" t="n">
        <f aca="false">I1054*K1054</f>
        <v>0</v>
      </c>
    </row>
    <row r="1055" customFormat="false" ht="15" hidden="false" customHeight="false" outlineLevel="0" collapsed="false">
      <c r="A1055" s="32" t="s">
        <v>2032</v>
      </c>
      <c r="B1055" s="32" t="s">
        <v>23</v>
      </c>
      <c r="C1055" s="32" t="s">
        <v>2033</v>
      </c>
      <c r="D1055" s="32" t="s">
        <v>211</v>
      </c>
      <c r="E1055" s="33" t="n">
        <v>8430942003449</v>
      </c>
      <c r="F1055" s="33" t="n">
        <v>1</v>
      </c>
      <c r="G1055" s="34" t="n">
        <v>37.18</v>
      </c>
      <c r="H1055" s="33" t="n">
        <v>69</v>
      </c>
      <c r="I1055" s="34" t="n">
        <f aca="false">G1055*((100-H1055)/100)</f>
        <v>11.5258</v>
      </c>
      <c r="J1055" s="35"/>
      <c r="K1055" s="36" t="n">
        <f aca="false">+F1055*J1055</f>
        <v>0</v>
      </c>
      <c r="L1055" s="37" t="n">
        <f aca="false">I1055*K1055</f>
        <v>0</v>
      </c>
    </row>
    <row r="1056" customFormat="false" ht="15" hidden="false" customHeight="false" outlineLevel="0" collapsed="false">
      <c r="A1056" s="32" t="s">
        <v>2034</v>
      </c>
      <c r="B1056" s="32" t="s">
        <v>23</v>
      </c>
      <c r="C1056" s="32" t="s">
        <v>2035</v>
      </c>
      <c r="D1056" s="32" t="s">
        <v>211</v>
      </c>
      <c r="E1056" s="33" t="n">
        <v>8430942003456</v>
      </c>
      <c r="F1056" s="33" t="n">
        <v>1</v>
      </c>
      <c r="G1056" s="34" t="n">
        <v>38.83</v>
      </c>
      <c r="H1056" s="33" t="n">
        <v>69</v>
      </c>
      <c r="I1056" s="34" t="n">
        <f aca="false">G1056*((100-H1056)/100)</f>
        <v>12.0373</v>
      </c>
      <c r="J1056" s="35"/>
      <c r="K1056" s="36" t="n">
        <f aca="false">+F1056*J1056</f>
        <v>0</v>
      </c>
      <c r="L1056" s="37" t="n">
        <f aca="false">I1056*K1056</f>
        <v>0</v>
      </c>
    </row>
    <row r="1057" customFormat="false" ht="15" hidden="false" customHeight="false" outlineLevel="0" collapsed="false">
      <c r="A1057" s="32" t="s">
        <v>2036</v>
      </c>
      <c r="B1057" s="32" t="s">
        <v>23</v>
      </c>
      <c r="C1057" s="32" t="s">
        <v>2037</v>
      </c>
      <c r="D1057" s="32" t="s">
        <v>211</v>
      </c>
      <c r="E1057" s="33" t="n">
        <v>8430942003463</v>
      </c>
      <c r="F1057" s="33" t="n">
        <v>1</v>
      </c>
      <c r="G1057" s="34" t="n">
        <v>39.11</v>
      </c>
      <c r="H1057" s="33" t="n">
        <v>69</v>
      </c>
      <c r="I1057" s="34" t="n">
        <f aca="false">G1057*((100-H1057)/100)</f>
        <v>12.1241</v>
      </c>
      <c r="J1057" s="35"/>
      <c r="K1057" s="36" t="n">
        <f aca="false">+F1057*J1057</f>
        <v>0</v>
      </c>
      <c r="L1057" s="37" t="n">
        <f aca="false">I1057*K1057</f>
        <v>0</v>
      </c>
    </row>
    <row r="1058" customFormat="false" ht="15" hidden="false" customHeight="false" outlineLevel="0" collapsed="false">
      <c r="A1058" s="32" t="s">
        <v>2038</v>
      </c>
      <c r="B1058" s="32" t="s">
        <v>23</v>
      </c>
      <c r="C1058" s="32" t="s">
        <v>2039</v>
      </c>
      <c r="D1058" s="32" t="s">
        <v>211</v>
      </c>
      <c r="E1058" s="33" t="n">
        <v>8430942003487</v>
      </c>
      <c r="F1058" s="33" t="n">
        <v>1</v>
      </c>
      <c r="G1058" s="34" t="n">
        <v>48.79</v>
      </c>
      <c r="H1058" s="33" t="n">
        <v>69</v>
      </c>
      <c r="I1058" s="34" t="n">
        <f aca="false">G1058*((100-H1058)/100)</f>
        <v>15.1249</v>
      </c>
      <c r="J1058" s="35"/>
      <c r="K1058" s="36" t="n">
        <f aca="false">+F1058*J1058</f>
        <v>0</v>
      </c>
      <c r="L1058" s="37" t="n">
        <f aca="false">I1058*K1058</f>
        <v>0</v>
      </c>
    </row>
    <row r="1059" customFormat="false" ht="15" hidden="false" customHeight="false" outlineLevel="0" collapsed="false">
      <c r="A1059" s="32" t="s">
        <v>2040</v>
      </c>
      <c r="B1059" s="32" t="s">
        <v>23</v>
      </c>
      <c r="C1059" s="32" t="s">
        <v>2041</v>
      </c>
      <c r="D1059" s="32" t="s">
        <v>211</v>
      </c>
      <c r="E1059" s="33" t="n">
        <v>8430942003494</v>
      </c>
      <c r="F1059" s="33" t="n">
        <v>1</v>
      </c>
      <c r="G1059" s="34" t="n">
        <v>54.61</v>
      </c>
      <c r="H1059" s="33" t="n">
        <v>69</v>
      </c>
      <c r="I1059" s="34" t="n">
        <f aca="false">G1059*((100-H1059)/100)</f>
        <v>16.9291</v>
      </c>
      <c r="J1059" s="35"/>
      <c r="K1059" s="36" t="n">
        <f aca="false">+F1059*J1059</f>
        <v>0</v>
      </c>
      <c r="L1059" s="37" t="n">
        <f aca="false">I1059*K1059</f>
        <v>0</v>
      </c>
    </row>
    <row r="1060" customFormat="false" ht="15" hidden="false" customHeight="false" outlineLevel="0" collapsed="false">
      <c r="A1060" s="32" t="s">
        <v>2042</v>
      </c>
      <c r="B1060" s="32" t="s">
        <v>23</v>
      </c>
      <c r="C1060" s="32" t="s">
        <v>2043</v>
      </c>
      <c r="D1060" s="32" t="s">
        <v>211</v>
      </c>
      <c r="E1060" s="33" t="n">
        <v>8430942003500</v>
      </c>
      <c r="F1060" s="33" t="n">
        <v>1</v>
      </c>
      <c r="G1060" s="34" t="n">
        <v>62.54</v>
      </c>
      <c r="H1060" s="33" t="n">
        <v>69</v>
      </c>
      <c r="I1060" s="34" t="n">
        <f aca="false">G1060*((100-H1060)/100)</f>
        <v>19.3874</v>
      </c>
      <c r="J1060" s="35"/>
      <c r="K1060" s="36" t="n">
        <f aca="false">+F1060*J1060</f>
        <v>0</v>
      </c>
      <c r="L1060" s="37" t="n">
        <f aca="false">I1060*K1060</f>
        <v>0</v>
      </c>
    </row>
    <row r="1061" customFormat="false" ht="15" hidden="false" customHeight="false" outlineLevel="0" collapsed="false">
      <c r="A1061" s="32" t="s">
        <v>2044</v>
      </c>
      <c r="B1061" s="32" t="s">
        <v>23</v>
      </c>
      <c r="C1061" s="32" t="s">
        <v>2045</v>
      </c>
      <c r="D1061" s="32" t="s">
        <v>211</v>
      </c>
      <c r="E1061" s="33" t="n">
        <v>8430942003524</v>
      </c>
      <c r="F1061" s="33" t="n">
        <v>1</v>
      </c>
      <c r="G1061" s="34" t="n">
        <v>72.35</v>
      </c>
      <c r="H1061" s="33" t="n">
        <v>69</v>
      </c>
      <c r="I1061" s="34" t="n">
        <f aca="false">G1061*((100-H1061)/100)</f>
        <v>22.4285</v>
      </c>
      <c r="J1061" s="35"/>
      <c r="K1061" s="36" t="n">
        <f aca="false">+F1061*J1061</f>
        <v>0</v>
      </c>
      <c r="L1061" s="37" t="n">
        <f aca="false">I1061*K1061</f>
        <v>0</v>
      </c>
    </row>
    <row r="1062" customFormat="false" ht="15" hidden="false" customHeight="false" outlineLevel="0" collapsed="false">
      <c r="A1062" s="32" t="s">
        <v>2046</v>
      </c>
      <c r="B1062" s="32" t="s">
        <v>23</v>
      </c>
      <c r="C1062" s="32" t="s">
        <v>2047</v>
      </c>
      <c r="D1062" s="32" t="s">
        <v>211</v>
      </c>
      <c r="E1062" s="33" t="n">
        <v>8430942003531</v>
      </c>
      <c r="F1062" s="33" t="n">
        <v>1</v>
      </c>
      <c r="G1062" s="34" t="n">
        <v>103.42</v>
      </c>
      <c r="H1062" s="33" t="n">
        <v>69</v>
      </c>
      <c r="I1062" s="34" t="n">
        <f aca="false">G1062*((100-H1062)/100)</f>
        <v>32.0602</v>
      </c>
      <c r="J1062" s="35"/>
      <c r="K1062" s="36" t="n">
        <f aca="false">+F1062*J1062</f>
        <v>0</v>
      </c>
      <c r="L1062" s="37" t="n">
        <f aca="false">I1062*K1062</f>
        <v>0</v>
      </c>
    </row>
    <row r="1063" customFormat="false" ht="15" hidden="false" customHeight="false" outlineLevel="0" collapsed="false">
      <c r="A1063" s="32" t="s">
        <v>2048</v>
      </c>
      <c r="B1063" s="32" t="s">
        <v>23</v>
      </c>
      <c r="C1063" s="32" t="s">
        <v>2049</v>
      </c>
      <c r="D1063" s="32" t="s">
        <v>211</v>
      </c>
      <c r="E1063" s="33" t="n">
        <v>8430942003548</v>
      </c>
      <c r="F1063" s="33" t="n">
        <v>1</v>
      </c>
      <c r="G1063" s="34" t="n">
        <v>121.72</v>
      </c>
      <c r="H1063" s="33" t="n">
        <v>69</v>
      </c>
      <c r="I1063" s="34" t="n">
        <f aca="false">G1063*((100-H1063)/100)</f>
        <v>37.7332</v>
      </c>
      <c r="J1063" s="35"/>
      <c r="K1063" s="36" t="n">
        <f aca="false">+F1063*J1063</f>
        <v>0</v>
      </c>
      <c r="L1063" s="37" t="n">
        <f aca="false">I1063*K1063</f>
        <v>0</v>
      </c>
    </row>
    <row r="1064" customFormat="false" ht="15" hidden="false" customHeight="false" outlineLevel="0" collapsed="false">
      <c r="A1064" s="32" t="s">
        <v>2050</v>
      </c>
      <c r="B1064" s="32" t="s">
        <v>23</v>
      </c>
      <c r="C1064" s="32" t="s">
        <v>2051</v>
      </c>
      <c r="D1064" s="32" t="s">
        <v>211</v>
      </c>
      <c r="E1064" s="33" t="n">
        <v>8430942003555</v>
      </c>
      <c r="F1064" s="33" t="n">
        <v>1</v>
      </c>
      <c r="G1064" s="34" t="n">
        <v>149.01</v>
      </c>
      <c r="H1064" s="33" t="n">
        <v>69</v>
      </c>
      <c r="I1064" s="34" t="n">
        <f aca="false">G1064*((100-H1064)/100)</f>
        <v>46.1931</v>
      </c>
      <c r="J1064" s="35"/>
      <c r="K1064" s="36" t="n">
        <f aca="false">+F1064*J1064</f>
        <v>0</v>
      </c>
      <c r="L1064" s="37" t="n">
        <f aca="false">I1064*K1064</f>
        <v>0</v>
      </c>
    </row>
    <row r="1065" customFormat="false" ht="15" hidden="false" customHeight="false" outlineLevel="0" collapsed="false">
      <c r="A1065" s="32" t="s">
        <v>2052</v>
      </c>
      <c r="B1065" s="32" t="s">
        <v>23</v>
      </c>
      <c r="C1065" s="32" t="s">
        <v>2053</v>
      </c>
      <c r="D1065" s="32" t="s">
        <v>211</v>
      </c>
      <c r="E1065" s="33" t="n">
        <v>8430942003562</v>
      </c>
      <c r="F1065" s="33" t="n">
        <v>1</v>
      </c>
      <c r="G1065" s="34" t="n">
        <v>217.38</v>
      </c>
      <c r="H1065" s="33" t="n">
        <v>69</v>
      </c>
      <c r="I1065" s="34" t="n">
        <f aca="false">G1065*((100-H1065)/100)</f>
        <v>67.3878</v>
      </c>
      <c r="J1065" s="35"/>
      <c r="K1065" s="36" t="n">
        <f aca="false">+F1065*J1065</f>
        <v>0</v>
      </c>
      <c r="L1065" s="37" t="n">
        <f aca="false">I1065*K1065</f>
        <v>0</v>
      </c>
    </row>
    <row r="1066" customFormat="false" ht="15" hidden="false" customHeight="false" outlineLevel="0" collapsed="false">
      <c r="A1066" s="32" t="s">
        <v>2054</v>
      </c>
      <c r="B1066" s="32" t="s">
        <v>23</v>
      </c>
      <c r="C1066" s="32" t="s">
        <v>2055</v>
      </c>
      <c r="D1066" s="32" t="s">
        <v>224</v>
      </c>
      <c r="E1066" s="33" t="n">
        <v>8430942332532</v>
      </c>
      <c r="F1066" s="33" t="n">
        <v>1</v>
      </c>
      <c r="G1066" s="34" t="n">
        <v>14.09</v>
      </c>
      <c r="H1066" s="33" t="n">
        <v>69</v>
      </c>
      <c r="I1066" s="34" t="n">
        <f aca="false">G1066*((100-H1066)/100)</f>
        <v>4.3679</v>
      </c>
      <c r="J1066" s="35"/>
      <c r="K1066" s="36" t="n">
        <f aca="false">+F1066*J1066</f>
        <v>0</v>
      </c>
      <c r="L1066" s="37" t="n">
        <f aca="false">I1066*K1066</f>
        <v>0</v>
      </c>
    </row>
    <row r="1067" customFormat="false" ht="15" hidden="false" customHeight="false" outlineLevel="0" collapsed="false">
      <c r="A1067" s="32" t="s">
        <v>2056</v>
      </c>
      <c r="B1067" s="32" t="s">
        <v>23</v>
      </c>
      <c r="C1067" s="32" t="s">
        <v>2057</v>
      </c>
      <c r="D1067" s="32" t="s">
        <v>224</v>
      </c>
      <c r="E1067" s="33" t="n">
        <v>8430942332556</v>
      </c>
      <c r="F1067" s="33" t="n">
        <v>1</v>
      </c>
      <c r="G1067" s="34" t="n">
        <v>14.09</v>
      </c>
      <c r="H1067" s="33" t="n">
        <v>69</v>
      </c>
      <c r="I1067" s="34" t="n">
        <f aca="false">G1067*((100-H1067)/100)</f>
        <v>4.3679</v>
      </c>
      <c r="J1067" s="35"/>
      <c r="K1067" s="36" t="n">
        <f aca="false">+F1067*J1067</f>
        <v>0</v>
      </c>
      <c r="L1067" s="37" t="n">
        <f aca="false">I1067*K1067</f>
        <v>0</v>
      </c>
    </row>
    <row r="1068" customFormat="false" ht="15" hidden="false" customHeight="false" outlineLevel="0" collapsed="false">
      <c r="A1068" s="32" t="s">
        <v>2058</v>
      </c>
      <c r="B1068" s="32" t="s">
        <v>23</v>
      </c>
      <c r="C1068" s="32" t="s">
        <v>2059</v>
      </c>
      <c r="D1068" s="32" t="s">
        <v>224</v>
      </c>
      <c r="E1068" s="33" t="n">
        <v>8430942332570</v>
      </c>
      <c r="F1068" s="33" t="n">
        <v>1</v>
      </c>
      <c r="G1068" s="34" t="n">
        <v>14.09</v>
      </c>
      <c r="H1068" s="33" t="n">
        <v>69</v>
      </c>
      <c r="I1068" s="34" t="n">
        <f aca="false">G1068*((100-H1068)/100)</f>
        <v>4.3679</v>
      </c>
      <c r="J1068" s="35"/>
      <c r="K1068" s="36" t="n">
        <f aca="false">+F1068*J1068</f>
        <v>0</v>
      </c>
      <c r="L1068" s="37" t="n">
        <f aca="false">I1068*K1068</f>
        <v>0</v>
      </c>
    </row>
    <row r="1069" customFormat="false" ht="15" hidden="false" customHeight="false" outlineLevel="0" collapsed="false">
      <c r="A1069" s="32" t="s">
        <v>2060</v>
      </c>
      <c r="B1069" s="32" t="s">
        <v>23</v>
      </c>
      <c r="C1069" s="32" t="s">
        <v>2061</v>
      </c>
      <c r="D1069" s="32" t="s">
        <v>224</v>
      </c>
      <c r="E1069" s="33" t="n">
        <v>8430942332594</v>
      </c>
      <c r="F1069" s="33" t="n">
        <v>1</v>
      </c>
      <c r="G1069" s="34" t="n">
        <v>14.09</v>
      </c>
      <c r="H1069" s="33" t="n">
        <v>69</v>
      </c>
      <c r="I1069" s="34" t="n">
        <f aca="false">G1069*((100-H1069)/100)</f>
        <v>4.3679</v>
      </c>
      <c r="J1069" s="35"/>
      <c r="K1069" s="36" t="n">
        <f aca="false">+F1069*J1069</f>
        <v>0</v>
      </c>
      <c r="L1069" s="37" t="n">
        <f aca="false">I1069*K1069</f>
        <v>0</v>
      </c>
    </row>
    <row r="1070" customFormat="false" ht="15" hidden="false" customHeight="false" outlineLevel="0" collapsed="false">
      <c r="A1070" s="32" t="s">
        <v>2062</v>
      </c>
      <c r="B1070" s="32" t="s">
        <v>23</v>
      </c>
      <c r="C1070" s="32" t="s">
        <v>2063</v>
      </c>
      <c r="D1070" s="32" t="s">
        <v>224</v>
      </c>
      <c r="E1070" s="33" t="n">
        <v>8430942332617</v>
      </c>
      <c r="F1070" s="33" t="n">
        <v>1</v>
      </c>
      <c r="G1070" s="34" t="n">
        <v>14.09</v>
      </c>
      <c r="H1070" s="33" t="n">
        <v>69</v>
      </c>
      <c r="I1070" s="34" t="n">
        <f aca="false">G1070*((100-H1070)/100)</f>
        <v>4.3679</v>
      </c>
      <c r="J1070" s="35"/>
      <c r="K1070" s="36" t="n">
        <f aca="false">+F1070*J1070</f>
        <v>0</v>
      </c>
      <c r="L1070" s="37" t="n">
        <f aca="false">I1070*K1070</f>
        <v>0</v>
      </c>
    </row>
    <row r="1071" customFormat="false" ht="15" hidden="false" customHeight="false" outlineLevel="0" collapsed="false">
      <c r="A1071" s="32" t="s">
        <v>2064</v>
      </c>
      <c r="B1071" s="32" t="s">
        <v>23</v>
      </c>
      <c r="C1071" s="32" t="s">
        <v>2065</v>
      </c>
      <c r="D1071" s="32" t="s">
        <v>224</v>
      </c>
      <c r="E1071" s="33" t="n">
        <v>8430942332624</v>
      </c>
      <c r="F1071" s="33" t="n">
        <v>1</v>
      </c>
      <c r="G1071" s="34" t="n">
        <v>14.09</v>
      </c>
      <c r="H1071" s="33" t="n">
        <v>69</v>
      </c>
      <c r="I1071" s="34" t="n">
        <f aca="false">G1071*((100-H1071)/100)</f>
        <v>4.3679</v>
      </c>
      <c r="J1071" s="35"/>
      <c r="K1071" s="36" t="n">
        <f aca="false">+F1071*J1071</f>
        <v>0</v>
      </c>
      <c r="L1071" s="37" t="n">
        <f aca="false">I1071*K1071</f>
        <v>0</v>
      </c>
    </row>
    <row r="1072" customFormat="false" ht="15" hidden="false" customHeight="false" outlineLevel="0" collapsed="false">
      <c r="A1072" s="32" t="s">
        <v>2066</v>
      </c>
      <c r="B1072" s="32" t="s">
        <v>23</v>
      </c>
      <c r="C1072" s="32" t="s">
        <v>2067</v>
      </c>
      <c r="D1072" s="32" t="s">
        <v>224</v>
      </c>
      <c r="E1072" s="33" t="n">
        <v>8430942332631</v>
      </c>
      <c r="F1072" s="33" t="n">
        <v>1</v>
      </c>
      <c r="G1072" s="34" t="n">
        <v>14.09</v>
      </c>
      <c r="H1072" s="33" t="n">
        <v>69</v>
      </c>
      <c r="I1072" s="34" t="n">
        <f aca="false">G1072*((100-H1072)/100)</f>
        <v>4.3679</v>
      </c>
      <c r="J1072" s="35"/>
      <c r="K1072" s="36" t="n">
        <f aca="false">+F1072*J1072</f>
        <v>0</v>
      </c>
      <c r="L1072" s="37" t="n">
        <f aca="false">I1072*K1072</f>
        <v>0</v>
      </c>
    </row>
    <row r="1073" customFormat="false" ht="15" hidden="false" customHeight="false" outlineLevel="0" collapsed="false">
      <c r="A1073" s="32" t="s">
        <v>2068</v>
      </c>
      <c r="B1073" s="32" t="s">
        <v>23</v>
      </c>
      <c r="C1073" s="32" t="s">
        <v>2069</v>
      </c>
      <c r="D1073" s="32" t="s">
        <v>224</v>
      </c>
      <c r="E1073" s="33" t="n">
        <v>8430942332648</v>
      </c>
      <c r="F1073" s="33" t="n">
        <v>1</v>
      </c>
      <c r="G1073" s="34" t="n">
        <v>14.09</v>
      </c>
      <c r="H1073" s="33" t="n">
        <v>69</v>
      </c>
      <c r="I1073" s="34" t="n">
        <f aca="false">G1073*((100-H1073)/100)</f>
        <v>4.3679</v>
      </c>
      <c r="J1073" s="35"/>
      <c r="K1073" s="36" t="n">
        <f aca="false">+F1073*J1073</f>
        <v>0</v>
      </c>
      <c r="L1073" s="37" t="n">
        <f aca="false">I1073*K1073</f>
        <v>0</v>
      </c>
    </row>
    <row r="1074" customFormat="false" ht="15" hidden="false" customHeight="false" outlineLevel="0" collapsed="false">
      <c r="A1074" s="32" t="s">
        <v>2070</v>
      </c>
      <c r="B1074" s="32" t="s">
        <v>23</v>
      </c>
      <c r="C1074" s="32" t="s">
        <v>2071</v>
      </c>
      <c r="D1074" s="32" t="s">
        <v>224</v>
      </c>
      <c r="E1074" s="33" t="n">
        <v>8430942332655</v>
      </c>
      <c r="F1074" s="33" t="n">
        <v>1</v>
      </c>
      <c r="G1074" s="34" t="n">
        <v>14.09</v>
      </c>
      <c r="H1074" s="33" t="n">
        <v>69</v>
      </c>
      <c r="I1074" s="34" t="n">
        <f aca="false">G1074*((100-H1074)/100)</f>
        <v>4.3679</v>
      </c>
      <c r="J1074" s="35"/>
      <c r="K1074" s="36" t="n">
        <f aca="false">+F1074*J1074</f>
        <v>0</v>
      </c>
      <c r="L1074" s="37" t="n">
        <f aca="false">I1074*K1074</f>
        <v>0</v>
      </c>
    </row>
    <row r="1075" customFormat="false" ht="15" hidden="false" customHeight="false" outlineLevel="0" collapsed="false">
      <c r="A1075" s="32" t="s">
        <v>2072</v>
      </c>
      <c r="B1075" s="32" t="s">
        <v>23</v>
      </c>
      <c r="C1075" s="32" t="s">
        <v>2073</v>
      </c>
      <c r="D1075" s="32" t="s">
        <v>224</v>
      </c>
      <c r="E1075" s="33" t="n">
        <v>8430942332679</v>
      </c>
      <c r="F1075" s="33" t="n">
        <v>1</v>
      </c>
      <c r="G1075" s="34" t="n">
        <v>18.58</v>
      </c>
      <c r="H1075" s="33" t="n">
        <v>69</v>
      </c>
      <c r="I1075" s="34" t="n">
        <f aca="false">G1075*((100-H1075)/100)</f>
        <v>5.7598</v>
      </c>
      <c r="J1075" s="35"/>
      <c r="K1075" s="36" t="n">
        <f aca="false">+F1075*J1075</f>
        <v>0</v>
      </c>
      <c r="L1075" s="37" t="n">
        <f aca="false">I1075*K1075</f>
        <v>0</v>
      </c>
    </row>
    <row r="1076" customFormat="false" ht="15" hidden="false" customHeight="false" outlineLevel="0" collapsed="false">
      <c r="A1076" s="32" t="s">
        <v>2074</v>
      </c>
      <c r="B1076" s="32" t="s">
        <v>23</v>
      </c>
      <c r="C1076" s="32" t="s">
        <v>2075</v>
      </c>
      <c r="D1076" s="32" t="s">
        <v>224</v>
      </c>
      <c r="E1076" s="33" t="n">
        <v>8430942332686</v>
      </c>
      <c r="F1076" s="33" t="n">
        <v>1</v>
      </c>
      <c r="G1076" s="34" t="n">
        <v>18.58</v>
      </c>
      <c r="H1076" s="33" t="n">
        <v>69</v>
      </c>
      <c r="I1076" s="34" t="n">
        <f aca="false">G1076*((100-H1076)/100)</f>
        <v>5.7598</v>
      </c>
      <c r="J1076" s="35"/>
      <c r="K1076" s="36" t="n">
        <f aca="false">+F1076*J1076</f>
        <v>0</v>
      </c>
      <c r="L1076" s="37" t="n">
        <f aca="false">I1076*K1076</f>
        <v>0</v>
      </c>
    </row>
    <row r="1077" customFormat="false" ht="15" hidden="false" customHeight="false" outlineLevel="0" collapsed="false">
      <c r="A1077" s="32" t="s">
        <v>2076</v>
      </c>
      <c r="B1077" s="32" t="s">
        <v>23</v>
      </c>
      <c r="C1077" s="32" t="s">
        <v>2077</v>
      </c>
      <c r="D1077" s="32" t="s">
        <v>224</v>
      </c>
      <c r="E1077" s="33" t="n">
        <v>8430942332693</v>
      </c>
      <c r="F1077" s="33" t="n">
        <v>1</v>
      </c>
      <c r="G1077" s="34" t="n">
        <v>18.58</v>
      </c>
      <c r="H1077" s="33" t="n">
        <v>69</v>
      </c>
      <c r="I1077" s="34" t="n">
        <f aca="false">G1077*((100-H1077)/100)</f>
        <v>5.7598</v>
      </c>
      <c r="J1077" s="35"/>
      <c r="K1077" s="36" t="n">
        <f aca="false">+F1077*J1077</f>
        <v>0</v>
      </c>
      <c r="L1077" s="37" t="n">
        <f aca="false">I1077*K1077</f>
        <v>0</v>
      </c>
    </row>
    <row r="1078" customFormat="false" ht="15" hidden="false" customHeight="false" outlineLevel="0" collapsed="false">
      <c r="A1078" s="32" t="s">
        <v>2078</v>
      </c>
      <c r="B1078" s="32" t="s">
        <v>23</v>
      </c>
      <c r="C1078" s="32" t="s">
        <v>2079</v>
      </c>
      <c r="D1078" s="32" t="s">
        <v>224</v>
      </c>
      <c r="E1078" s="33" t="n">
        <v>8430942332716</v>
      </c>
      <c r="F1078" s="33" t="n">
        <v>1</v>
      </c>
      <c r="G1078" s="34" t="n">
        <v>20.98</v>
      </c>
      <c r="H1078" s="33" t="n">
        <v>69</v>
      </c>
      <c r="I1078" s="34" t="n">
        <f aca="false">G1078*((100-H1078)/100)</f>
        <v>6.5038</v>
      </c>
      <c r="J1078" s="35"/>
      <c r="K1078" s="36" t="n">
        <f aca="false">+F1078*J1078</f>
        <v>0</v>
      </c>
      <c r="L1078" s="37" t="n">
        <f aca="false">I1078*K1078</f>
        <v>0</v>
      </c>
    </row>
    <row r="1079" customFormat="false" ht="15" hidden="false" customHeight="false" outlineLevel="0" collapsed="false">
      <c r="A1079" s="32" t="s">
        <v>2080</v>
      </c>
      <c r="B1079" s="32" t="s">
        <v>23</v>
      </c>
      <c r="C1079" s="32" t="s">
        <v>2081</v>
      </c>
      <c r="D1079" s="32" t="s">
        <v>224</v>
      </c>
      <c r="E1079" s="33" t="n">
        <v>8430942332723</v>
      </c>
      <c r="F1079" s="33" t="n">
        <v>1</v>
      </c>
      <c r="G1079" s="34" t="n">
        <v>23.98</v>
      </c>
      <c r="H1079" s="33" t="n">
        <v>69</v>
      </c>
      <c r="I1079" s="34" t="n">
        <f aca="false">G1079*((100-H1079)/100)</f>
        <v>7.4338</v>
      </c>
      <c r="J1079" s="35"/>
      <c r="K1079" s="36" t="n">
        <f aca="false">+F1079*J1079</f>
        <v>0</v>
      </c>
      <c r="L1079" s="37" t="n">
        <f aca="false">I1079*K1079</f>
        <v>0</v>
      </c>
    </row>
    <row r="1080" customFormat="false" ht="15" hidden="false" customHeight="false" outlineLevel="0" collapsed="false">
      <c r="A1080" s="32" t="s">
        <v>2082</v>
      </c>
      <c r="B1080" s="32" t="s">
        <v>23</v>
      </c>
      <c r="C1080" s="32" t="s">
        <v>2083</v>
      </c>
      <c r="D1080" s="32" t="s">
        <v>224</v>
      </c>
      <c r="E1080" s="33" t="n">
        <v>8430942332730</v>
      </c>
      <c r="F1080" s="33" t="n">
        <v>1</v>
      </c>
      <c r="G1080" s="34" t="n">
        <v>34.41</v>
      </c>
      <c r="H1080" s="33" t="n">
        <v>69</v>
      </c>
      <c r="I1080" s="34" t="n">
        <f aca="false">G1080*((100-H1080)/100)</f>
        <v>10.6671</v>
      </c>
      <c r="J1080" s="35"/>
      <c r="K1080" s="36" t="n">
        <f aca="false">+F1080*J1080</f>
        <v>0</v>
      </c>
      <c r="L1080" s="37" t="n">
        <f aca="false">I1080*K1080</f>
        <v>0</v>
      </c>
    </row>
    <row r="1081" customFormat="false" ht="15" hidden="false" customHeight="false" outlineLevel="0" collapsed="false">
      <c r="A1081" s="32" t="s">
        <v>2084</v>
      </c>
      <c r="B1081" s="32" t="s">
        <v>23</v>
      </c>
      <c r="C1081" s="32" t="s">
        <v>2085</v>
      </c>
      <c r="D1081" s="32" t="s">
        <v>224</v>
      </c>
      <c r="E1081" s="33" t="n">
        <v>8430942332747</v>
      </c>
      <c r="F1081" s="33" t="n">
        <v>1</v>
      </c>
      <c r="G1081" s="34" t="n">
        <v>45.87</v>
      </c>
      <c r="H1081" s="33" t="n">
        <v>69</v>
      </c>
      <c r="I1081" s="34" t="n">
        <f aca="false">G1081*((100-H1081)/100)</f>
        <v>14.2197</v>
      </c>
      <c r="J1081" s="35"/>
      <c r="K1081" s="36" t="n">
        <f aca="false">+F1081*J1081</f>
        <v>0</v>
      </c>
      <c r="L1081" s="37" t="n">
        <f aca="false">I1081*K1081</f>
        <v>0</v>
      </c>
    </row>
    <row r="1082" customFormat="false" ht="15" hidden="false" customHeight="false" outlineLevel="0" collapsed="false">
      <c r="A1082" s="32" t="s">
        <v>2086</v>
      </c>
      <c r="B1082" s="32" t="s">
        <v>23</v>
      </c>
      <c r="C1082" s="32" t="s">
        <v>2087</v>
      </c>
      <c r="D1082" s="32" t="s">
        <v>224</v>
      </c>
      <c r="E1082" s="33" t="n">
        <v>8430942332761</v>
      </c>
      <c r="F1082" s="33" t="n">
        <v>1</v>
      </c>
      <c r="G1082" s="34" t="n">
        <v>80.28</v>
      </c>
      <c r="H1082" s="33" t="n">
        <v>69</v>
      </c>
      <c r="I1082" s="34" t="n">
        <f aca="false">G1082*((100-H1082)/100)</f>
        <v>24.8868</v>
      </c>
      <c r="J1082" s="35"/>
      <c r="K1082" s="36" t="n">
        <f aca="false">+F1082*J1082</f>
        <v>0</v>
      </c>
      <c r="L1082" s="37" t="n">
        <f aca="false">I1082*K1082</f>
        <v>0</v>
      </c>
    </row>
    <row r="1083" customFormat="false" ht="15" hidden="false" customHeight="false" outlineLevel="0" collapsed="false">
      <c r="A1083" s="32" t="s">
        <v>2088</v>
      </c>
      <c r="B1083" s="32" t="s">
        <v>23</v>
      </c>
      <c r="C1083" s="32" t="s">
        <v>2089</v>
      </c>
      <c r="D1083" s="32" t="s">
        <v>253</v>
      </c>
      <c r="E1083" s="33" t="n">
        <v>8430942011512</v>
      </c>
      <c r="F1083" s="33" t="n">
        <v>1</v>
      </c>
      <c r="G1083" s="34" t="n">
        <v>7.27</v>
      </c>
      <c r="H1083" s="33" t="n">
        <v>69</v>
      </c>
      <c r="I1083" s="34" t="n">
        <f aca="false">G1083*((100-H1083)/100)</f>
        <v>2.2537</v>
      </c>
      <c r="J1083" s="35"/>
      <c r="K1083" s="36" t="n">
        <f aca="false">+F1083*J1083</f>
        <v>0</v>
      </c>
      <c r="L1083" s="37" t="n">
        <f aca="false">I1083*K1083</f>
        <v>0</v>
      </c>
    </row>
    <row r="1084" customFormat="false" ht="15" hidden="false" customHeight="false" outlineLevel="0" collapsed="false">
      <c r="A1084" s="32" t="s">
        <v>2090</v>
      </c>
      <c r="B1084" s="32" t="s">
        <v>23</v>
      </c>
      <c r="C1084" s="32" t="s">
        <v>2091</v>
      </c>
      <c r="D1084" s="32" t="s">
        <v>253</v>
      </c>
      <c r="E1084" s="33" t="n">
        <v>8430942021696</v>
      </c>
      <c r="F1084" s="33" t="n">
        <v>1</v>
      </c>
      <c r="G1084" s="34" t="n">
        <v>7.27</v>
      </c>
      <c r="H1084" s="33" t="n">
        <v>69</v>
      </c>
      <c r="I1084" s="34" t="n">
        <f aca="false">G1084*((100-H1084)/100)</f>
        <v>2.2537</v>
      </c>
      <c r="J1084" s="35"/>
      <c r="K1084" s="36" t="n">
        <f aca="false">+F1084*J1084</f>
        <v>0</v>
      </c>
      <c r="L1084" s="37" t="n">
        <f aca="false">I1084*K1084</f>
        <v>0</v>
      </c>
    </row>
    <row r="1085" customFormat="false" ht="15" hidden="false" customHeight="false" outlineLevel="0" collapsed="false">
      <c r="A1085" s="32" t="s">
        <v>2092</v>
      </c>
      <c r="B1085" s="32" t="s">
        <v>23</v>
      </c>
      <c r="C1085" s="32" t="s">
        <v>2093</v>
      </c>
      <c r="D1085" s="32" t="s">
        <v>253</v>
      </c>
      <c r="E1085" s="33" t="n">
        <v>8430942011529</v>
      </c>
      <c r="F1085" s="33" t="n">
        <v>1</v>
      </c>
      <c r="G1085" s="34" t="n">
        <v>7.27</v>
      </c>
      <c r="H1085" s="33" t="n">
        <v>69</v>
      </c>
      <c r="I1085" s="34" t="n">
        <f aca="false">G1085*((100-H1085)/100)</f>
        <v>2.2537</v>
      </c>
      <c r="J1085" s="35"/>
      <c r="K1085" s="36" t="n">
        <f aca="false">+F1085*J1085</f>
        <v>0</v>
      </c>
      <c r="L1085" s="37" t="n">
        <f aca="false">I1085*K1085</f>
        <v>0</v>
      </c>
    </row>
    <row r="1086" customFormat="false" ht="15" hidden="false" customHeight="false" outlineLevel="0" collapsed="false">
      <c r="A1086" s="32" t="s">
        <v>2094</v>
      </c>
      <c r="B1086" s="32" t="s">
        <v>23</v>
      </c>
      <c r="C1086" s="32" t="s">
        <v>2095</v>
      </c>
      <c r="D1086" s="32" t="s">
        <v>253</v>
      </c>
      <c r="E1086" s="33" t="n">
        <v>8430942011536</v>
      </c>
      <c r="F1086" s="33" t="n">
        <v>1</v>
      </c>
      <c r="G1086" s="34" t="n">
        <v>7.69</v>
      </c>
      <c r="H1086" s="33" t="n">
        <v>69</v>
      </c>
      <c r="I1086" s="34" t="n">
        <f aca="false">G1086*((100-H1086)/100)</f>
        <v>2.3839</v>
      </c>
      <c r="J1086" s="35"/>
      <c r="K1086" s="36" t="n">
        <f aca="false">+F1086*J1086</f>
        <v>0</v>
      </c>
      <c r="L1086" s="37" t="n">
        <f aca="false">I1086*K1086</f>
        <v>0</v>
      </c>
    </row>
    <row r="1087" customFormat="false" ht="15" hidden="false" customHeight="false" outlineLevel="0" collapsed="false">
      <c r="A1087" s="32" t="s">
        <v>2096</v>
      </c>
      <c r="B1087" s="32" t="s">
        <v>23</v>
      </c>
      <c r="C1087" s="32" t="s">
        <v>2097</v>
      </c>
      <c r="D1087" s="32" t="s">
        <v>253</v>
      </c>
      <c r="E1087" s="33" t="n">
        <v>8430942011543</v>
      </c>
      <c r="F1087" s="33" t="n">
        <v>1</v>
      </c>
      <c r="G1087" s="34" t="n">
        <v>7.69</v>
      </c>
      <c r="H1087" s="33" t="n">
        <v>69</v>
      </c>
      <c r="I1087" s="34" t="n">
        <f aca="false">G1087*((100-H1087)/100)</f>
        <v>2.3839</v>
      </c>
      <c r="J1087" s="35"/>
      <c r="K1087" s="36" t="n">
        <f aca="false">+F1087*J1087</f>
        <v>0</v>
      </c>
      <c r="L1087" s="37" t="n">
        <f aca="false">I1087*K1087</f>
        <v>0</v>
      </c>
    </row>
    <row r="1088" customFormat="false" ht="15" hidden="false" customHeight="false" outlineLevel="0" collapsed="false">
      <c r="A1088" s="32" t="s">
        <v>2098</v>
      </c>
      <c r="B1088" s="32" t="s">
        <v>23</v>
      </c>
      <c r="C1088" s="32" t="s">
        <v>2099</v>
      </c>
      <c r="D1088" s="32" t="s">
        <v>253</v>
      </c>
      <c r="E1088" s="33" t="n">
        <v>8430942011550</v>
      </c>
      <c r="F1088" s="33" t="n">
        <v>1</v>
      </c>
      <c r="G1088" s="34" t="n">
        <v>7.69</v>
      </c>
      <c r="H1088" s="33" t="n">
        <v>69</v>
      </c>
      <c r="I1088" s="34" t="n">
        <f aca="false">G1088*((100-H1088)/100)</f>
        <v>2.3839</v>
      </c>
      <c r="J1088" s="35"/>
      <c r="K1088" s="36" t="n">
        <f aca="false">+F1088*J1088</f>
        <v>0</v>
      </c>
      <c r="L1088" s="37" t="n">
        <f aca="false">I1088*K1088</f>
        <v>0</v>
      </c>
    </row>
    <row r="1089" customFormat="false" ht="15" hidden="false" customHeight="false" outlineLevel="0" collapsed="false">
      <c r="A1089" s="32" t="s">
        <v>2100</v>
      </c>
      <c r="B1089" s="32" t="s">
        <v>23</v>
      </c>
      <c r="C1089" s="32" t="s">
        <v>2101</v>
      </c>
      <c r="D1089" s="32" t="s">
        <v>253</v>
      </c>
      <c r="E1089" s="33" t="n">
        <v>8430942011567</v>
      </c>
      <c r="F1089" s="33" t="n">
        <v>1</v>
      </c>
      <c r="G1089" s="34" t="n">
        <v>9.4</v>
      </c>
      <c r="H1089" s="33" t="n">
        <v>69</v>
      </c>
      <c r="I1089" s="34" t="n">
        <f aca="false">G1089*((100-H1089)/100)</f>
        <v>2.914</v>
      </c>
      <c r="J1089" s="35"/>
      <c r="K1089" s="36" t="n">
        <f aca="false">+F1089*J1089</f>
        <v>0</v>
      </c>
      <c r="L1089" s="37" t="n">
        <f aca="false">I1089*K1089</f>
        <v>0</v>
      </c>
    </row>
    <row r="1090" customFormat="false" ht="15" hidden="false" customHeight="false" outlineLevel="0" collapsed="false">
      <c r="A1090" s="32" t="s">
        <v>2102</v>
      </c>
      <c r="B1090" s="32" t="s">
        <v>23</v>
      </c>
      <c r="C1090" s="32" t="s">
        <v>2103</v>
      </c>
      <c r="D1090" s="32" t="s">
        <v>253</v>
      </c>
      <c r="E1090" s="33" t="n">
        <v>8430942020491</v>
      </c>
      <c r="F1090" s="33" t="n">
        <v>1</v>
      </c>
      <c r="G1090" s="34" t="n">
        <v>9.4</v>
      </c>
      <c r="H1090" s="33" t="n">
        <v>69</v>
      </c>
      <c r="I1090" s="34" t="n">
        <f aca="false">G1090*((100-H1090)/100)</f>
        <v>2.914</v>
      </c>
      <c r="J1090" s="35"/>
      <c r="K1090" s="36" t="n">
        <f aca="false">+F1090*J1090</f>
        <v>0</v>
      </c>
      <c r="L1090" s="37" t="n">
        <f aca="false">I1090*K1090</f>
        <v>0</v>
      </c>
    </row>
    <row r="1091" customFormat="false" ht="15" hidden="false" customHeight="false" outlineLevel="0" collapsed="false">
      <c r="A1091" s="32" t="s">
        <v>2104</v>
      </c>
      <c r="B1091" s="32" t="s">
        <v>23</v>
      </c>
      <c r="C1091" s="32" t="s">
        <v>2105</v>
      </c>
      <c r="D1091" s="32" t="s">
        <v>253</v>
      </c>
      <c r="E1091" s="33" t="n">
        <v>8430942011574</v>
      </c>
      <c r="F1091" s="33" t="n">
        <v>1</v>
      </c>
      <c r="G1091" s="34" t="n">
        <v>9.4</v>
      </c>
      <c r="H1091" s="33" t="n">
        <v>69</v>
      </c>
      <c r="I1091" s="34" t="n">
        <f aca="false">G1091*((100-H1091)/100)</f>
        <v>2.914</v>
      </c>
      <c r="J1091" s="35"/>
      <c r="K1091" s="36" t="n">
        <f aca="false">+F1091*J1091</f>
        <v>0</v>
      </c>
      <c r="L1091" s="37" t="n">
        <f aca="false">I1091*K1091</f>
        <v>0</v>
      </c>
    </row>
    <row r="1092" customFormat="false" ht="15" hidden="false" customHeight="false" outlineLevel="0" collapsed="false">
      <c r="A1092" s="32" t="s">
        <v>2106</v>
      </c>
      <c r="B1092" s="32" t="s">
        <v>23</v>
      </c>
      <c r="C1092" s="32" t="s">
        <v>2107</v>
      </c>
      <c r="D1092" s="32" t="s">
        <v>253</v>
      </c>
      <c r="E1092" s="33" t="n">
        <v>8430942011581</v>
      </c>
      <c r="F1092" s="33" t="n">
        <v>1</v>
      </c>
      <c r="G1092" s="34" t="n">
        <v>10.92</v>
      </c>
      <c r="H1092" s="33" t="n">
        <v>69</v>
      </c>
      <c r="I1092" s="34" t="n">
        <f aca="false">G1092*((100-H1092)/100)</f>
        <v>3.3852</v>
      </c>
      <c r="J1092" s="35"/>
      <c r="K1092" s="36" t="n">
        <f aca="false">+F1092*J1092</f>
        <v>0</v>
      </c>
      <c r="L1092" s="37" t="n">
        <f aca="false">I1092*K1092</f>
        <v>0</v>
      </c>
    </row>
    <row r="1093" customFormat="false" ht="15" hidden="false" customHeight="false" outlineLevel="0" collapsed="false">
      <c r="A1093" s="32" t="s">
        <v>2108</v>
      </c>
      <c r="B1093" s="32" t="s">
        <v>23</v>
      </c>
      <c r="C1093" s="32" t="s">
        <v>2109</v>
      </c>
      <c r="D1093" s="32" t="s">
        <v>253</v>
      </c>
      <c r="E1093" s="33" t="n">
        <v>8430942011598</v>
      </c>
      <c r="F1093" s="33" t="n">
        <v>1</v>
      </c>
      <c r="G1093" s="34" t="n">
        <v>12.03</v>
      </c>
      <c r="H1093" s="33" t="n">
        <v>69</v>
      </c>
      <c r="I1093" s="34" t="n">
        <f aca="false">G1093*((100-H1093)/100)</f>
        <v>3.7293</v>
      </c>
      <c r="J1093" s="35"/>
      <c r="K1093" s="36" t="n">
        <f aca="false">+F1093*J1093</f>
        <v>0</v>
      </c>
      <c r="L1093" s="37" t="n">
        <f aca="false">I1093*K1093</f>
        <v>0</v>
      </c>
    </row>
    <row r="1094" customFormat="false" ht="15" hidden="false" customHeight="false" outlineLevel="0" collapsed="false">
      <c r="A1094" s="32" t="s">
        <v>2110</v>
      </c>
      <c r="B1094" s="32" t="s">
        <v>23</v>
      </c>
      <c r="C1094" s="32" t="s">
        <v>2111</v>
      </c>
      <c r="D1094" s="32" t="s">
        <v>253</v>
      </c>
      <c r="E1094" s="33" t="n">
        <v>8430942011604</v>
      </c>
      <c r="F1094" s="33" t="n">
        <v>1</v>
      </c>
      <c r="G1094" s="34" t="n">
        <v>12.03</v>
      </c>
      <c r="H1094" s="33" t="n">
        <v>69</v>
      </c>
      <c r="I1094" s="34" t="n">
        <f aca="false">G1094*((100-H1094)/100)</f>
        <v>3.7293</v>
      </c>
      <c r="J1094" s="35"/>
      <c r="K1094" s="36" t="n">
        <f aca="false">+F1094*J1094</f>
        <v>0</v>
      </c>
      <c r="L1094" s="37" t="n">
        <f aca="false">I1094*K1094</f>
        <v>0</v>
      </c>
    </row>
    <row r="1095" customFormat="false" ht="15" hidden="false" customHeight="false" outlineLevel="0" collapsed="false">
      <c r="A1095" s="32" t="s">
        <v>2112</v>
      </c>
      <c r="B1095" s="32" t="s">
        <v>23</v>
      </c>
      <c r="C1095" s="32" t="s">
        <v>2113</v>
      </c>
      <c r="D1095" s="32" t="s">
        <v>253</v>
      </c>
      <c r="E1095" s="33" t="n">
        <v>8430942011611</v>
      </c>
      <c r="F1095" s="33" t="n">
        <v>1</v>
      </c>
      <c r="G1095" s="34" t="n">
        <v>14.55</v>
      </c>
      <c r="H1095" s="33" t="n">
        <v>69</v>
      </c>
      <c r="I1095" s="34" t="n">
        <f aca="false">G1095*((100-H1095)/100)</f>
        <v>4.5105</v>
      </c>
      <c r="J1095" s="35"/>
      <c r="K1095" s="36" t="n">
        <f aca="false">+F1095*J1095</f>
        <v>0</v>
      </c>
      <c r="L1095" s="37" t="n">
        <f aca="false">I1095*K1095</f>
        <v>0</v>
      </c>
    </row>
    <row r="1096" customFormat="false" ht="15" hidden="false" customHeight="false" outlineLevel="0" collapsed="false">
      <c r="A1096" s="32" t="s">
        <v>2114</v>
      </c>
      <c r="B1096" s="32" t="s">
        <v>23</v>
      </c>
      <c r="C1096" s="32" t="s">
        <v>2115</v>
      </c>
      <c r="D1096" s="32" t="s">
        <v>253</v>
      </c>
      <c r="E1096" s="33" t="n">
        <v>8430942011628</v>
      </c>
      <c r="F1096" s="33" t="n">
        <v>1</v>
      </c>
      <c r="G1096" s="34" t="n">
        <v>18.32</v>
      </c>
      <c r="H1096" s="33" t="n">
        <v>69</v>
      </c>
      <c r="I1096" s="34" t="n">
        <f aca="false">G1096*((100-H1096)/100)</f>
        <v>5.6792</v>
      </c>
      <c r="J1096" s="35"/>
      <c r="K1096" s="36" t="n">
        <f aca="false">+F1096*J1096</f>
        <v>0</v>
      </c>
      <c r="L1096" s="37" t="n">
        <f aca="false">I1096*K1096</f>
        <v>0</v>
      </c>
    </row>
    <row r="1097" customFormat="false" ht="15" hidden="false" customHeight="false" outlineLevel="0" collapsed="false">
      <c r="A1097" s="32" t="s">
        <v>2116</v>
      </c>
      <c r="B1097" s="32" t="s">
        <v>23</v>
      </c>
      <c r="C1097" s="32" t="s">
        <v>2117</v>
      </c>
      <c r="D1097" s="32" t="s">
        <v>253</v>
      </c>
      <c r="E1097" s="33" t="n">
        <v>8430942016692</v>
      </c>
      <c r="F1097" s="33" t="n">
        <v>1</v>
      </c>
      <c r="G1097" s="34" t="n">
        <v>21.4</v>
      </c>
      <c r="H1097" s="33" t="n">
        <v>69</v>
      </c>
      <c r="I1097" s="34" t="n">
        <f aca="false">G1097*((100-H1097)/100)</f>
        <v>6.634</v>
      </c>
      <c r="J1097" s="35"/>
      <c r="K1097" s="36" t="n">
        <f aca="false">+F1097*J1097</f>
        <v>0</v>
      </c>
      <c r="L1097" s="37" t="n">
        <f aca="false">I1097*K1097</f>
        <v>0</v>
      </c>
    </row>
    <row r="1098" customFormat="false" ht="15" hidden="false" customHeight="false" outlineLevel="0" collapsed="false">
      <c r="A1098" s="32" t="s">
        <v>2118</v>
      </c>
      <c r="B1098" s="32" t="s">
        <v>23</v>
      </c>
      <c r="C1098" s="32" t="s">
        <v>2119</v>
      </c>
      <c r="D1098" s="32" t="s">
        <v>253</v>
      </c>
      <c r="E1098" s="33" t="n">
        <v>8430942011635</v>
      </c>
      <c r="F1098" s="33" t="n">
        <v>1</v>
      </c>
      <c r="G1098" s="34" t="n">
        <v>25.18</v>
      </c>
      <c r="H1098" s="33" t="n">
        <v>69</v>
      </c>
      <c r="I1098" s="34" t="n">
        <f aca="false">G1098*((100-H1098)/100)</f>
        <v>7.8058</v>
      </c>
      <c r="J1098" s="35"/>
      <c r="K1098" s="36" t="n">
        <f aca="false">+F1098*J1098</f>
        <v>0</v>
      </c>
      <c r="L1098" s="37" t="n">
        <f aca="false">I1098*K1098</f>
        <v>0</v>
      </c>
    </row>
    <row r="1099" customFormat="false" ht="15" hidden="false" customHeight="false" outlineLevel="0" collapsed="false">
      <c r="A1099" s="32" t="s">
        <v>2120</v>
      </c>
      <c r="B1099" s="32" t="s">
        <v>23</v>
      </c>
      <c r="C1099" s="32" t="s">
        <v>2121</v>
      </c>
      <c r="D1099" s="32" t="s">
        <v>253</v>
      </c>
      <c r="E1099" s="33" t="n">
        <v>8430942011642</v>
      </c>
      <c r="F1099" s="33" t="n">
        <v>1</v>
      </c>
      <c r="G1099" s="34" t="n">
        <v>32.45</v>
      </c>
      <c r="H1099" s="33" t="n">
        <v>69</v>
      </c>
      <c r="I1099" s="34" t="n">
        <f aca="false">G1099*((100-H1099)/100)</f>
        <v>10.0595</v>
      </c>
      <c r="J1099" s="35"/>
      <c r="K1099" s="36" t="n">
        <f aca="false">+F1099*J1099</f>
        <v>0</v>
      </c>
      <c r="L1099" s="37" t="n">
        <f aca="false">I1099*K1099</f>
        <v>0</v>
      </c>
    </row>
    <row r="1100" customFormat="false" ht="15" hidden="false" customHeight="false" outlineLevel="0" collapsed="false">
      <c r="A1100" s="32" t="s">
        <v>2122</v>
      </c>
      <c r="B1100" s="32" t="s">
        <v>23</v>
      </c>
      <c r="C1100" s="32" t="s">
        <v>2123</v>
      </c>
      <c r="D1100" s="32" t="s">
        <v>253</v>
      </c>
      <c r="E1100" s="33" t="n">
        <v>8430942044640</v>
      </c>
      <c r="F1100" s="33" t="n">
        <v>1</v>
      </c>
      <c r="G1100" s="34" t="n">
        <v>7.27</v>
      </c>
      <c r="H1100" s="33" t="n">
        <v>69</v>
      </c>
      <c r="I1100" s="34" t="n">
        <f aca="false">G1100*((100-H1100)/100)</f>
        <v>2.2537</v>
      </c>
      <c r="J1100" s="35"/>
      <c r="K1100" s="36" t="n">
        <f aca="false">+F1100*J1100</f>
        <v>0</v>
      </c>
      <c r="L1100" s="37" t="n">
        <f aca="false">I1100*K1100</f>
        <v>0</v>
      </c>
    </row>
    <row r="1101" customFormat="false" ht="15" hidden="false" customHeight="false" outlineLevel="0" collapsed="false">
      <c r="A1101" s="32" t="s">
        <v>2124</v>
      </c>
      <c r="B1101" s="32" t="s">
        <v>23</v>
      </c>
      <c r="C1101" s="32" t="s">
        <v>2125</v>
      </c>
      <c r="D1101" s="32" t="s">
        <v>253</v>
      </c>
      <c r="E1101" s="33" t="n">
        <v>8430942008772</v>
      </c>
      <c r="F1101" s="33" t="n">
        <v>1</v>
      </c>
      <c r="G1101" s="34" t="n">
        <v>7.27</v>
      </c>
      <c r="H1101" s="33" t="n">
        <v>69</v>
      </c>
      <c r="I1101" s="34" t="n">
        <f aca="false">G1101*((100-H1101)/100)</f>
        <v>2.2537</v>
      </c>
      <c r="J1101" s="35"/>
      <c r="K1101" s="36" t="n">
        <f aca="false">+F1101*J1101</f>
        <v>0</v>
      </c>
      <c r="L1101" s="37" t="n">
        <f aca="false">I1101*K1101</f>
        <v>0</v>
      </c>
    </row>
    <row r="1102" customFormat="false" ht="15" hidden="false" customHeight="false" outlineLevel="0" collapsed="false">
      <c r="A1102" s="32" t="s">
        <v>2126</v>
      </c>
      <c r="B1102" s="32" t="s">
        <v>23</v>
      </c>
      <c r="C1102" s="32" t="s">
        <v>2127</v>
      </c>
      <c r="D1102" s="32" t="s">
        <v>253</v>
      </c>
      <c r="E1102" s="33" t="n">
        <v>8430942044657</v>
      </c>
      <c r="F1102" s="33" t="n">
        <v>1</v>
      </c>
      <c r="G1102" s="34" t="n">
        <v>7.27</v>
      </c>
      <c r="H1102" s="33" t="n">
        <v>69</v>
      </c>
      <c r="I1102" s="34" t="n">
        <f aca="false">G1102*((100-H1102)/100)</f>
        <v>2.2537</v>
      </c>
      <c r="J1102" s="35"/>
      <c r="K1102" s="36" t="n">
        <f aca="false">+F1102*J1102</f>
        <v>0</v>
      </c>
      <c r="L1102" s="37" t="n">
        <f aca="false">I1102*K1102</f>
        <v>0</v>
      </c>
    </row>
    <row r="1103" customFormat="false" ht="15" hidden="false" customHeight="false" outlineLevel="0" collapsed="false">
      <c r="A1103" s="32" t="s">
        <v>2128</v>
      </c>
      <c r="B1103" s="32" t="s">
        <v>23</v>
      </c>
      <c r="C1103" s="32" t="s">
        <v>2129</v>
      </c>
      <c r="D1103" s="32" t="s">
        <v>253</v>
      </c>
      <c r="E1103" s="33" t="n">
        <v>8430942045388</v>
      </c>
      <c r="F1103" s="33" t="n">
        <v>1</v>
      </c>
      <c r="G1103" s="34" t="n">
        <v>7.69</v>
      </c>
      <c r="H1103" s="33" t="n">
        <v>69</v>
      </c>
      <c r="I1103" s="34" t="n">
        <f aca="false">G1103*((100-H1103)/100)</f>
        <v>2.3839</v>
      </c>
      <c r="J1103" s="35"/>
      <c r="K1103" s="36" t="n">
        <f aca="false">+F1103*J1103</f>
        <v>0</v>
      </c>
      <c r="L1103" s="37" t="n">
        <f aca="false">I1103*K1103</f>
        <v>0</v>
      </c>
    </row>
    <row r="1104" customFormat="false" ht="15" hidden="false" customHeight="false" outlineLevel="0" collapsed="false">
      <c r="A1104" s="32" t="s">
        <v>2130</v>
      </c>
      <c r="B1104" s="32" t="s">
        <v>23</v>
      </c>
      <c r="C1104" s="32" t="s">
        <v>2131</v>
      </c>
      <c r="D1104" s="32" t="s">
        <v>253</v>
      </c>
      <c r="E1104" s="33" t="n">
        <v>8430942044664</v>
      </c>
      <c r="F1104" s="33" t="n">
        <v>1</v>
      </c>
      <c r="G1104" s="34" t="n">
        <v>7.69</v>
      </c>
      <c r="H1104" s="33" t="n">
        <v>69</v>
      </c>
      <c r="I1104" s="34" t="n">
        <f aca="false">G1104*((100-H1104)/100)</f>
        <v>2.3839</v>
      </c>
      <c r="J1104" s="35"/>
      <c r="K1104" s="36" t="n">
        <f aca="false">+F1104*J1104</f>
        <v>0</v>
      </c>
      <c r="L1104" s="37" t="n">
        <f aca="false">I1104*K1104</f>
        <v>0</v>
      </c>
    </row>
    <row r="1105" customFormat="false" ht="15" hidden="false" customHeight="false" outlineLevel="0" collapsed="false">
      <c r="A1105" s="32" t="s">
        <v>2132</v>
      </c>
      <c r="B1105" s="32" t="s">
        <v>23</v>
      </c>
      <c r="C1105" s="32" t="s">
        <v>2133</v>
      </c>
      <c r="D1105" s="32" t="s">
        <v>253</v>
      </c>
      <c r="E1105" s="33" t="n">
        <v>8430942008789</v>
      </c>
      <c r="F1105" s="33" t="n">
        <v>1</v>
      </c>
      <c r="G1105" s="34" t="n">
        <v>7.69</v>
      </c>
      <c r="H1105" s="33" t="n">
        <v>69</v>
      </c>
      <c r="I1105" s="34" t="n">
        <f aca="false">G1105*((100-H1105)/100)</f>
        <v>2.3839</v>
      </c>
      <c r="J1105" s="35"/>
      <c r="K1105" s="36" t="n">
        <f aca="false">+F1105*J1105</f>
        <v>0</v>
      </c>
      <c r="L1105" s="37" t="n">
        <f aca="false">I1105*K1105</f>
        <v>0</v>
      </c>
    </row>
    <row r="1106" customFormat="false" ht="15" hidden="false" customHeight="false" outlineLevel="0" collapsed="false">
      <c r="A1106" s="32" t="s">
        <v>2134</v>
      </c>
      <c r="B1106" s="32" t="s">
        <v>23</v>
      </c>
      <c r="C1106" s="32" t="s">
        <v>2135</v>
      </c>
      <c r="D1106" s="32" t="s">
        <v>253</v>
      </c>
      <c r="E1106" s="33" t="n">
        <v>8430942008796</v>
      </c>
      <c r="F1106" s="33" t="n">
        <v>1</v>
      </c>
      <c r="G1106" s="34" t="n">
        <v>9.4</v>
      </c>
      <c r="H1106" s="33" t="n">
        <v>69</v>
      </c>
      <c r="I1106" s="34" t="n">
        <f aca="false">G1106*((100-H1106)/100)</f>
        <v>2.914</v>
      </c>
      <c r="J1106" s="35"/>
      <c r="K1106" s="36" t="n">
        <f aca="false">+F1106*J1106</f>
        <v>0</v>
      </c>
      <c r="L1106" s="37" t="n">
        <f aca="false">I1106*K1106</f>
        <v>0</v>
      </c>
    </row>
    <row r="1107" customFormat="false" ht="15" hidden="false" customHeight="false" outlineLevel="0" collapsed="false">
      <c r="A1107" s="32" t="s">
        <v>2136</v>
      </c>
      <c r="B1107" s="32" t="s">
        <v>23</v>
      </c>
      <c r="C1107" s="32" t="s">
        <v>2137</v>
      </c>
      <c r="D1107" s="32" t="s">
        <v>253</v>
      </c>
      <c r="E1107" s="33" t="n">
        <v>8430942008802</v>
      </c>
      <c r="F1107" s="33" t="n">
        <v>1</v>
      </c>
      <c r="G1107" s="34" t="n">
        <v>9.4</v>
      </c>
      <c r="H1107" s="33" t="n">
        <v>69</v>
      </c>
      <c r="I1107" s="34" t="n">
        <f aca="false">G1107*((100-H1107)/100)</f>
        <v>2.914</v>
      </c>
      <c r="J1107" s="35"/>
      <c r="K1107" s="36" t="n">
        <f aca="false">+F1107*J1107</f>
        <v>0</v>
      </c>
      <c r="L1107" s="37" t="n">
        <f aca="false">I1107*K1107</f>
        <v>0</v>
      </c>
    </row>
    <row r="1108" customFormat="false" ht="15" hidden="false" customHeight="false" outlineLevel="0" collapsed="false">
      <c r="A1108" s="32" t="s">
        <v>2138</v>
      </c>
      <c r="B1108" s="32" t="s">
        <v>23</v>
      </c>
      <c r="C1108" s="32" t="s">
        <v>2139</v>
      </c>
      <c r="D1108" s="32" t="s">
        <v>253</v>
      </c>
      <c r="E1108" s="33" t="n">
        <v>8430942044671</v>
      </c>
      <c r="F1108" s="33" t="n">
        <v>1</v>
      </c>
      <c r="G1108" s="34" t="n">
        <v>9.4</v>
      </c>
      <c r="H1108" s="33" t="n">
        <v>69</v>
      </c>
      <c r="I1108" s="34" t="n">
        <f aca="false">G1108*((100-H1108)/100)</f>
        <v>2.914</v>
      </c>
      <c r="J1108" s="35"/>
      <c r="K1108" s="36" t="n">
        <f aca="false">+F1108*J1108</f>
        <v>0</v>
      </c>
      <c r="L1108" s="37" t="n">
        <f aca="false">I1108*K1108</f>
        <v>0</v>
      </c>
    </row>
    <row r="1109" customFormat="false" ht="15" hidden="false" customHeight="false" outlineLevel="0" collapsed="false">
      <c r="A1109" s="32" t="s">
        <v>2140</v>
      </c>
      <c r="B1109" s="32" t="s">
        <v>23</v>
      </c>
      <c r="C1109" s="32" t="s">
        <v>2141</v>
      </c>
      <c r="D1109" s="32" t="s">
        <v>253</v>
      </c>
      <c r="E1109" s="33" t="n">
        <v>8430942045395</v>
      </c>
      <c r="F1109" s="33" t="n">
        <v>1</v>
      </c>
      <c r="G1109" s="34" t="n">
        <v>10.92</v>
      </c>
      <c r="H1109" s="33" t="n">
        <v>69</v>
      </c>
      <c r="I1109" s="34" t="n">
        <f aca="false">G1109*((100-H1109)/100)</f>
        <v>3.3852</v>
      </c>
      <c r="J1109" s="35"/>
      <c r="K1109" s="36" t="n">
        <f aca="false">+F1109*J1109</f>
        <v>0</v>
      </c>
      <c r="L1109" s="37" t="n">
        <f aca="false">I1109*K1109</f>
        <v>0</v>
      </c>
    </row>
    <row r="1110" customFormat="false" ht="15" hidden="false" customHeight="false" outlineLevel="0" collapsed="false">
      <c r="A1110" s="32" t="s">
        <v>2142</v>
      </c>
      <c r="B1110" s="32" t="s">
        <v>23</v>
      </c>
      <c r="C1110" s="32" t="s">
        <v>2143</v>
      </c>
      <c r="D1110" s="32" t="s">
        <v>253</v>
      </c>
      <c r="E1110" s="33" t="n">
        <v>8430942008826</v>
      </c>
      <c r="F1110" s="33" t="n">
        <v>1</v>
      </c>
      <c r="G1110" s="34" t="n">
        <v>12.03</v>
      </c>
      <c r="H1110" s="33" t="n">
        <v>69</v>
      </c>
      <c r="I1110" s="34" t="n">
        <f aca="false">G1110*((100-H1110)/100)</f>
        <v>3.7293</v>
      </c>
      <c r="J1110" s="35"/>
      <c r="K1110" s="36" t="n">
        <f aca="false">+F1110*J1110</f>
        <v>0</v>
      </c>
      <c r="L1110" s="37" t="n">
        <f aca="false">I1110*K1110</f>
        <v>0</v>
      </c>
    </row>
    <row r="1111" customFormat="false" ht="15" hidden="false" customHeight="false" outlineLevel="0" collapsed="false">
      <c r="A1111" s="32" t="s">
        <v>2144</v>
      </c>
      <c r="B1111" s="32" t="s">
        <v>23</v>
      </c>
      <c r="C1111" s="32" t="s">
        <v>2145</v>
      </c>
      <c r="D1111" s="32" t="s">
        <v>253</v>
      </c>
      <c r="E1111" s="33" t="n">
        <v>8430942044688</v>
      </c>
      <c r="F1111" s="33" t="n">
        <v>1</v>
      </c>
      <c r="G1111" s="34" t="n">
        <v>12.03</v>
      </c>
      <c r="H1111" s="33" t="n">
        <v>69</v>
      </c>
      <c r="I1111" s="34" t="n">
        <f aca="false">G1111*((100-H1111)/100)</f>
        <v>3.7293</v>
      </c>
      <c r="J1111" s="35"/>
      <c r="K1111" s="36" t="n">
        <f aca="false">+F1111*J1111</f>
        <v>0</v>
      </c>
      <c r="L1111" s="37" t="n">
        <f aca="false">I1111*K1111</f>
        <v>0</v>
      </c>
    </row>
    <row r="1112" customFormat="false" ht="15" hidden="false" customHeight="false" outlineLevel="0" collapsed="false">
      <c r="A1112" s="32" t="s">
        <v>2146</v>
      </c>
      <c r="B1112" s="32" t="s">
        <v>23</v>
      </c>
      <c r="C1112" s="32" t="s">
        <v>2147</v>
      </c>
      <c r="D1112" s="32" t="s">
        <v>253</v>
      </c>
      <c r="E1112" s="33" t="n">
        <v>8430942331085</v>
      </c>
      <c r="F1112" s="33" t="n">
        <v>1</v>
      </c>
      <c r="G1112" s="34" t="n">
        <v>14.55</v>
      </c>
      <c r="H1112" s="33" t="n">
        <v>69</v>
      </c>
      <c r="I1112" s="34" t="n">
        <f aca="false">G1112*((100-H1112)/100)</f>
        <v>4.5105</v>
      </c>
      <c r="J1112" s="35"/>
      <c r="K1112" s="36" t="n">
        <f aca="false">+F1112*J1112</f>
        <v>0</v>
      </c>
      <c r="L1112" s="37" t="n">
        <f aca="false">I1112*K1112</f>
        <v>0</v>
      </c>
    </row>
    <row r="1113" customFormat="false" ht="15" hidden="false" customHeight="false" outlineLevel="0" collapsed="false">
      <c r="A1113" s="32" t="s">
        <v>2148</v>
      </c>
      <c r="B1113" s="32" t="s">
        <v>23</v>
      </c>
      <c r="C1113" s="32" t="s">
        <v>2149</v>
      </c>
      <c r="D1113" s="32" t="s">
        <v>253</v>
      </c>
      <c r="E1113" s="33" t="n">
        <v>8430942008840</v>
      </c>
      <c r="F1113" s="33" t="n">
        <v>1</v>
      </c>
      <c r="G1113" s="34" t="n">
        <v>18.32</v>
      </c>
      <c r="H1113" s="33" t="n">
        <v>69</v>
      </c>
      <c r="I1113" s="34" t="n">
        <f aca="false">G1113*((100-H1113)/100)</f>
        <v>5.6792</v>
      </c>
      <c r="J1113" s="35"/>
      <c r="K1113" s="36" t="n">
        <f aca="false">+F1113*J1113</f>
        <v>0</v>
      </c>
      <c r="L1113" s="37" t="n">
        <f aca="false">I1113*K1113</f>
        <v>0</v>
      </c>
    </row>
    <row r="1114" customFormat="false" ht="15" hidden="false" customHeight="false" outlineLevel="0" collapsed="false">
      <c r="A1114" s="32" t="s">
        <v>2150</v>
      </c>
      <c r="B1114" s="32" t="s">
        <v>23</v>
      </c>
      <c r="C1114" s="32" t="s">
        <v>2151</v>
      </c>
      <c r="D1114" s="32" t="s">
        <v>253</v>
      </c>
      <c r="E1114" s="33" t="n">
        <v>8430942331092</v>
      </c>
      <c r="F1114" s="33" t="n">
        <v>1</v>
      </c>
      <c r="G1114" s="34" t="n">
        <v>21.4</v>
      </c>
      <c r="H1114" s="33" t="n">
        <v>69</v>
      </c>
      <c r="I1114" s="34" t="n">
        <f aca="false">G1114*((100-H1114)/100)</f>
        <v>6.634</v>
      </c>
      <c r="J1114" s="35"/>
      <c r="K1114" s="36" t="n">
        <f aca="false">+F1114*J1114</f>
        <v>0</v>
      </c>
      <c r="L1114" s="37" t="n">
        <f aca="false">I1114*K1114</f>
        <v>0</v>
      </c>
    </row>
    <row r="1115" customFormat="false" ht="15" hidden="false" customHeight="false" outlineLevel="0" collapsed="false">
      <c r="A1115" s="32" t="s">
        <v>2152</v>
      </c>
      <c r="B1115" s="32" t="s">
        <v>23</v>
      </c>
      <c r="C1115" s="32" t="s">
        <v>2153</v>
      </c>
      <c r="D1115" s="32" t="s">
        <v>253</v>
      </c>
      <c r="E1115" s="33" t="n">
        <v>8430942331108</v>
      </c>
      <c r="F1115" s="33" t="n">
        <v>1</v>
      </c>
      <c r="G1115" s="34" t="n">
        <v>25.18</v>
      </c>
      <c r="H1115" s="33" t="n">
        <v>69</v>
      </c>
      <c r="I1115" s="34" t="n">
        <f aca="false">G1115*((100-H1115)/100)</f>
        <v>7.8058</v>
      </c>
      <c r="J1115" s="35"/>
      <c r="K1115" s="36" t="n">
        <f aca="false">+F1115*J1115</f>
        <v>0</v>
      </c>
      <c r="L1115" s="37" t="n">
        <f aca="false">I1115*K1115</f>
        <v>0</v>
      </c>
    </row>
    <row r="1116" customFormat="false" ht="15" hidden="false" customHeight="false" outlineLevel="0" collapsed="false">
      <c r="A1116" s="32" t="s">
        <v>2154</v>
      </c>
      <c r="B1116" s="32" t="s">
        <v>23</v>
      </c>
      <c r="C1116" s="32" t="s">
        <v>2155</v>
      </c>
      <c r="D1116" s="32" t="s">
        <v>253</v>
      </c>
      <c r="E1116" s="33" t="n">
        <v>8430942331115</v>
      </c>
      <c r="F1116" s="33" t="n">
        <v>1</v>
      </c>
      <c r="G1116" s="34" t="n">
        <v>32.45</v>
      </c>
      <c r="H1116" s="33" t="n">
        <v>69</v>
      </c>
      <c r="I1116" s="34" t="n">
        <f aca="false">G1116*((100-H1116)/100)</f>
        <v>10.0595</v>
      </c>
      <c r="J1116" s="35"/>
      <c r="K1116" s="36" t="n">
        <f aca="false">+F1116*J1116</f>
        <v>0</v>
      </c>
      <c r="L1116" s="37" t="n">
        <f aca="false">I1116*K1116</f>
        <v>0</v>
      </c>
    </row>
    <row r="1117" customFormat="false" ht="15" hidden="false" customHeight="false" outlineLevel="0" collapsed="false">
      <c r="A1117" s="32" t="s">
        <v>2156</v>
      </c>
      <c r="B1117" s="32" t="s">
        <v>23</v>
      </c>
      <c r="C1117" s="32" t="s">
        <v>2157</v>
      </c>
      <c r="D1117" s="32" t="s">
        <v>113</v>
      </c>
      <c r="E1117" s="33" t="n">
        <v>8430942327217</v>
      </c>
      <c r="F1117" s="33" t="n">
        <v>1</v>
      </c>
      <c r="G1117" s="34" t="n">
        <v>52.29</v>
      </c>
      <c r="H1117" s="33" t="n">
        <v>69</v>
      </c>
      <c r="I1117" s="34" t="n">
        <f aca="false">G1117*((100-H1117)/100)</f>
        <v>16.2099</v>
      </c>
      <c r="J1117" s="35"/>
      <c r="K1117" s="36" t="n">
        <f aca="false">+F1117*J1117</f>
        <v>0</v>
      </c>
      <c r="L1117" s="37" t="n">
        <f aca="false">I1117*K1117</f>
        <v>0</v>
      </c>
    </row>
    <row r="1118" customFormat="false" ht="15" hidden="false" customHeight="false" outlineLevel="0" collapsed="false">
      <c r="A1118" s="32" t="s">
        <v>2158</v>
      </c>
      <c r="B1118" s="32" t="s">
        <v>23</v>
      </c>
      <c r="C1118" s="32" t="s">
        <v>2159</v>
      </c>
      <c r="D1118" s="32" t="s">
        <v>113</v>
      </c>
      <c r="E1118" s="33" t="n">
        <v>8430942008604</v>
      </c>
      <c r="F1118" s="33" t="n">
        <v>1</v>
      </c>
      <c r="G1118" s="34" t="n">
        <v>53.17</v>
      </c>
      <c r="H1118" s="33" t="n">
        <v>69</v>
      </c>
      <c r="I1118" s="34" t="n">
        <f aca="false">G1118*((100-H1118)/100)</f>
        <v>16.4827</v>
      </c>
      <c r="J1118" s="35"/>
      <c r="K1118" s="36" t="n">
        <f aca="false">+F1118*J1118</f>
        <v>0</v>
      </c>
      <c r="L1118" s="37" t="n">
        <f aca="false">I1118*K1118</f>
        <v>0</v>
      </c>
    </row>
    <row r="1119" customFormat="false" ht="15" hidden="false" customHeight="false" outlineLevel="0" collapsed="false">
      <c r="A1119" s="32" t="s">
        <v>2160</v>
      </c>
      <c r="B1119" s="32" t="s">
        <v>23</v>
      </c>
      <c r="C1119" s="32" t="s">
        <v>2161</v>
      </c>
      <c r="D1119" s="32" t="s">
        <v>113</v>
      </c>
      <c r="E1119" s="33" t="n">
        <v>8430942008611</v>
      </c>
      <c r="F1119" s="33" t="n">
        <v>1</v>
      </c>
      <c r="G1119" s="34" t="n">
        <v>54.93</v>
      </c>
      <c r="H1119" s="33" t="n">
        <v>69</v>
      </c>
      <c r="I1119" s="34" t="n">
        <f aca="false">G1119*((100-H1119)/100)</f>
        <v>17.0283</v>
      </c>
      <c r="J1119" s="35"/>
      <c r="K1119" s="36" t="n">
        <f aca="false">+F1119*J1119</f>
        <v>0</v>
      </c>
      <c r="L1119" s="37" t="n">
        <f aca="false">I1119*K1119</f>
        <v>0</v>
      </c>
    </row>
    <row r="1120" customFormat="false" ht="15" hidden="false" customHeight="false" outlineLevel="0" collapsed="false">
      <c r="A1120" s="32" t="s">
        <v>2162</v>
      </c>
      <c r="B1120" s="32" t="s">
        <v>23</v>
      </c>
      <c r="C1120" s="32" t="s">
        <v>2163</v>
      </c>
      <c r="D1120" s="32" t="s">
        <v>113</v>
      </c>
      <c r="E1120" s="33" t="n">
        <v>8430942008628</v>
      </c>
      <c r="F1120" s="33" t="n">
        <v>1</v>
      </c>
      <c r="G1120" s="34" t="n">
        <v>56.11</v>
      </c>
      <c r="H1120" s="33" t="n">
        <v>69</v>
      </c>
      <c r="I1120" s="34" t="n">
        <f aca="false">G1120*((100-H1120)/100)</f>
        <v>17.3941</v>
      </c>
      <c r="J1120" s="35"/>
      <c r="K1120" s="36" t="n">
        <f aca="false">+F1120*J1120</f>
        <v>0</v>
      </c>
      <c r="L1120" s="37" t="n">
        <f aca="false">I1120*K1120</f>
        <v>0</v>
      </c>
    </row>
    <row r="1121" customFormat="false" ht="15" hidden="false" customHeight="false" outlineLevel="0" collapsed="false">
      <c r="A1121" s="32" t="s">
        <v>2164</v>
      </c>
      <c r="B1121" s="32" t="s">
        <v>23</v>
      </c>
      <c r="C1121" s="32" t="s">
        <v>2165</v>
      </c>
      <c r="D1121" s="32" t="s">
        <v>113</v>
      </c>
      <c r="E1121" s="33" t="n">
        <v>8430942008635</v>
      </c>
      <c r="F1121" s="33" t="n">
        <v>1</v>
      </c>
      <c r="G1121" s="34" t="n">
        <v>56.98</v>
      </c>
      <c r="H1121" s="33" t="n">
        <v>69</v>
      </c>
      <c r="I1121" s="34" t="n">
        <f aca="false">G1121*((100-H1121)/100)</f>
        <v>17.6638</v>
      </c>
      <c r="J1121" s="35"/>
      <c r="K1121" s="36" t="n">
        <f aca="false">+F1121*J1121</f>
        <v>0</v>
      </c>
      <c r="L1121" s="37" t="n">
        <f aca="false">I1121*K1121</f>
        <v>0</v>
      </c>
    </row>
    <row r="1122" customFormat="false" ht="15" hidden="false" customHeight="false" outlineLevel="0" collapsed="false">
      <c r="A1122" s="32" t="s">
        <v>2166</v>
      </c>
      <c r="B1122" s="32" t="s">
        <v>23</v>
      </c>
      <c r="C1122" s="32" t="s">
        <v>2167</v>
      </c>
      <c r="D1122" s="32" t="s">
        <v>113</v>
      </c>
      <c r="E1122" s="33" t="n">
        <v>8430942008642</v>
      </c>
      <c r="F1122" s="33" t="n">
        <v>1</v>
      </c>
      <c r="G1122" s="34" t="n">
        <v>60.51</v>
      </c>
      <c r="H1122" s="33" t="n">
        <v>69</v>
      </c>
      <c r="I1122" s="34" t="n">
        <f aca="false">G1122*((100-H1122)/100)</f>
        <v>18.7581</v>
      </c>
      <c r="J1122" s="35"/>
      <c r="K1122" s="36" t="n">
        <f aca="false">+F1122*J1122</f>
        <v>0</v>
      </c>
      <c r="L1122" s="37" t="n">
        <f aca="false">I1122*K1122</f>
        <v>0</v>
      </c>
    </row>
    <row r="1123" customFormat="false" ht="15" hidden="false" customHeight="false" outlineLevel="0" collapsed="false">
      <c r="A1123" s="32" t="s">
        <v>2168</v>
      </c>
      <c r="B1123" s="32" t="s">
        <v>23</v>
      </c>
      <c r="C1123" s="32" t="s">
        <v>2169</v>
      </c>
      <c r="D1123" s="32" t="s">
        <v>113</v>
      </c>
      <c r="E1123" s="33" t="n">
        <v>8430942327224</v>
      </c>
      <c r="F1123" s="33" t="n">
        <v>1</v>
      </c>
      <c r="G1123" s="34" t="n">
        <v>60.81</v>
      </c>
      <c r="H1123" s="33" t="n">
        <v>69</v>
      </c>
      <c r="I1123" s="34" t="n">
        <f aca="false">G1123*((100-H1123)/100)</f>
        <v>18.8511</v>
      </c>
      <c r="J1123" s="35"/>
      <c r="K1123" s="36" t="n">
        <f aca="false">+F1123*J1123</f>
        <v>0</v>
      </c>
      <c r="L1123" s="37" t="n">
        <f aca="false">I1123*K1123</f>
        <v>0</v>
      </c>
    </row>
    <row r="1124" customFormat="false" ht="15" hidden="false" customHeight="false" outlineLevel="0" collapsed="false">
      <c r="A1124" s="32" t="s">
        <v>2170</v>
      </c>
      <c r="B1124" s="32" t="s">
        <v>23</v>
      </c>
      <c r="C1124" s="32" t="s">
        <v>2171</v>
      </c>
      <c r="D1124" s="32" t="s">
        <v>113</v>
      </c>
      <c r="E1124" s="33" t="n">
        <v>8430942008666</v>
      </c>
      <c r="F1124" s="33" t="n">
        <v>1</v>
      </c>
      <c r="G1124" s="34" t="n">
        <v>71.97</v>
      </c>
      <c r="H1124" s="33" t="n">
        <v>69</v>
      </c>
      <c r="I1124" s="34" t="n">
        <f aca="false">G1124*((100-H1124)/100)</f>
        <v>22.3107</v>
      </c>
      <c r="J1124" s="35"/>
      <c r="K1124" s="36" t="n">
        <f aca="false">+F1124*J1124</f>
        <v>0</v>
      </c>
      <c r="L1124" s="37" t="n">
        <f aca="false">I1124*K1124</f>
        <v>0</v>
      </c>
    </row>
    <row r="1125" customFormat="false" ht="15" hidden="false" customHeight="false" outlineLevel="0" collapsed="false">
      <c r="A1125" s="32" t="s">
        <v>2172</v>
      </c>
      <c r="B1125" s="32" t="s">
        <v>23</v>
      </c>
      <c r="C1125" s="32" t="s">
        <v>2173</v>
      </c>
      <c r="D1125" s="32" t="s">
        <v>113</v>
      </c>
      <c r="E1125" s="33" t="n">
        <v>8430942008680</v>
      </c>
      <c r="F1125" s="33" t="n">
        <v>1</v>
      </c>
      <c r="G1125" s="34" t="n">
        <v>72.55</v>
      </c>
      <c r="H1125" s="33" t="n">
        <v>69</v>
      </c>
      <c r="I1125" s="34" t="n">
        <f aca="false">G1125*((100-H1125)/100)</f>
        <v>22.4905</v>
      </c>
      <c r="J1125" s="35"/>
      <c r="K1125" s="36" t="n">
        <f aca="false">+F1125*J1125</f>
        <v>0</v>
      </c>
      <c r="L1125" s="37" t="n">
        <f aca="false">I1125*K1125</f>
        <v>0</v>
      </c>
    </row>
    <row r="1126" customFormat="false" ht="15" hidden="false" customHeight="false" outlineLevel="0" collapsed="false">
      <c r="A1126" s="32" t="s">
        <v>2174</v>
      </c>
      <c r="B1126" s="32" t="s">
        <v>23</v>
      </c>
      <c r="C1126" s="32" t="s">
        <v>2175</v>
      </c>
      <c r="D1126" s="32" t="s">
        <v>113</v>
      </c>
      <c r="E1126" s="33" t="n">
        <v>8430942008673</v>
      </c>
      <c r="F1126" s="33" t="n">
        <v>1</v>
      </c>
      <c r="G1126" s="34" t="n">
        <v>73.15</v>
      </c>
      <c r="H1126" s="33" t="n">
        <v>69</v>
      </c>
      <c r="I1126" s="34" t="n">
        <f aca="false">G1126*((100-H1126)/100)</f>
        <v>22.6765</v>
      </c>
      <c r="J1126" s="35"/>
      <c r="K1126" s="36" t="n">
        <f aca="false">+F1126*J1126</f>
        <v>0</v>
      </c>
      <c r="L1126" s="37" t="n">
        <f aca="false">I1126*K1126</f>
        <v>0</v>
      </c>
    </row>
    <row r="1127" customFormat="false" ht="15" hidden="false" customHeight="false" outlineLevel="0" collapsed="false">
      <c r="A1127" s="32" t="s">
        <v>2176</v>
      </c>
      <c r="B1127" s="32" t="s">
        <v>23</v>
      </c>
      <c r="C1127" s="32" t="s">
        <v>2177</v>
      </c>
      <c r="D1127" s="32" t="s">
        <v>113</v>
      </c>
      <c r="E1127" s="33" t="n">
        <v>8430942327231</v>
      </c>
      <c r="F1127" s="33" t="n">
        <v>1</v>
      </c>
      <c r="G1127" s="34" t="n">
        <v>73.73</v>
      </c>
      <c r="H1127" s="33" t="n">
        <v>69</v>
      </c>
      <c r="I1127" s="34" t="n">
        <f aca="false">G1127*((100-H1127)/100)</f>
        <v>22.8563</v>
      </c>
      <c r="J1127" s="35"/>
      <c r="K1127" s="36" t="n">
        <f aca="false">+F1127*J1127</f>
        <v>0</v>
      </c>
      <c r="L1127" s="37" t="n">
        <f aca="false">I1127*K1127</f>
        <v>0</v>
      </c>
    </row>
    <row r="1128" customFormat="false" ht="15" hidden="false" customHeight="false" outlineLevel="0" collapsed="false">
      <c r="A1128" s="32" t="s">
        <v>2178</v>
      </c>
      <c r="B1128" s="32" t="s">
        <v>23</v>
      </c>
      <c r="C1128" s="32" t="s">
        <v>2179</v>
      </c>
      <c r="D1128" s="32" t="s">
        <v>113</v>
      </c>
      <c r="E1128" s="33" t="n">
        <v>8430942008703</v>
      </c>
      <c r="F1128" s="33" t="n">
        <v>1</v>
      </c>
      <c r="G1128" s="34" t="n">
        <v>90.47</v>
      </c>
      <c r="H1128" s="33" t="n">
        <v>69</v>
      </c>
      <c r="I1128" s="34" t="n">
        <f aca="false">G1128*((100-H1128)/100)</f>
        <v>28.0457</v>
      </c>
      <c r="J1128" s="35"/>
      <c r="K1128" s="36" t="n">
        <f aca="false">+F1128*J1128</f>
        <v>0</v>
      </c>
      <c r="L1128" s="37" t="n">
        <f aca="false">I1128*K1128</f>
        <v>0</v>
      </c>
    </row>
    <row r="1129" customFormat="false" ht="15" hidden="false" customHeight="false" outlineLevel="0" collapsed="false">
      <c r="A1129" s="32" t="s">
        <v>2180</v>
      </c>
      <c r="B1129" s="32" t="s">
        <v>23</v>
      </c>
      <c r="C1129" s="32" t="s">
        <v>2181</v>
      </c>
      <c r="D1129" s="32" t="s">
        <v>113</v>
      </c>
      <c r="E1129" s="33" t="n">
        <v>8430942008710</v>
      </c>
      <c r="F1129" s="33" t="n">
        <v>1</v>
      </c>
      <c r="G1129" s="34" t="n">
        <v>104.88</v>
      </c>
      <c r="H1129" s="33" t="n">
        <v>69</v>
      </c>
      <c r="I1129" s="34" t="n">
        <f aca="false">G1129*((100-H1129)/100)</f>
        <v>32.5128</v>
      </c>
      <c r="J1129" s="35"/>
      <c r="K1129" s="36" t="n">
        <f aca="false">+F1129*J1129</f>
        <v>0</v>
      </c>
      <c r="L1129" s="37" t="n">
        <f aca="false">I1129*K1129</f>
        <v>0</v>
      </c>
    </row>
    <row r="1130" customFormat="false" ht="15" hidden="false" customHeight="false" outlineLevel="0" collapsed="false">
      <c r="A1130" s="32" t="s">
        <v>2182</v>
      </c>
      <c r="B1130" s="32" t="s">
        <v>23</v>
      </c>
      <c r="C1130" s="32" t="s">
        <v>2183</v>
      </c>
      <c r="D1130" s="32" t="s">
        <v>113</v>
      </c>
      <c r="E1130" s="33" t="n">
        <v>8430942327248</v>
      </c>
      <c r="F1130" s="33" t="n">
        <v>1</v>
      </c>
      <c r="G1130" s="34" t="n">
        <v>106.04</v>
      </c>
      <c r="H1130" s="33" t="n">
        <v>69</v>
      </c>
      <c r="I1130" s="34" t="n">
        <f aca="false">G1130*((100-H1130)/100)</f>
        <v>32.8724</v>
      </c>
      <c r="J1130" s="35"/>
      <c r="K1130" s="36" t="n">
        <f aca="false">+F1130*J1130</f>
        <v>0</v>
      </c>
      <c r="L1130" s="37" t="n">
        <f aca="false">I1130*K1130</f>
        <v>0</v>
      </c>
    </row>
    <row r="1131" customFormat="false" ht="15" hidden="false" customHeight="false" outlineLevel="0" collapsed="false">
      <c r="A1131" s="32" t="s">
        <v>2184</v>
      </c>
      <c r="B1131" s="32" t="s">
        <v>23</v>
      </c>
      <c r="C1131" s="32" t="s">
        <v>2185</v>
      </c>
      <c r="D1131" s="32" t="s">
        <v>700</v>
      </c>
      <c r="E1131" s="33" t="n">
        <v>8430942001766</v>
      </c>
      <c r="F1131" s="33" t="n">
        <v>1</v>
      </c>
      <c r="G1131" s="34" t="n">
        <v>31.12</v>
      </c>
      <c r="H1131" s="33" t="n">
        <v>69</v>
      </c>
      <c r="I1131" s="34" t="n">
        <f aca="false">G1131*((100-H1131)/100)</f>
        <v>9.6472</v>
      </c>
      <c r="J1131" s="35"/>
      <c r="K1131" s="36" t="n">
        <f aca="false">+F1131*J1131</f>
        <v>0</v>
      </c>
      <c r="L1131" s="37" t="n">
        <f aca="false">I1131*K1131</f>
        <v>0</v>
      </c>
    </row>
    <row r="1132" customFormat="false" ht="15" hidden="false" customHeight="false" outlineLevel="0" collapsed="false">
      <c r="A1132" s="32" t="s">
        <v>2186</v>
      </c>
      <c r="B1132" s="32" t="s">
        <v>23</v>
      </c>
      <c r="C1132" s="32" t="s">
        <v>2187</v>
      </c>
      <c r="D1132" s="32" t="s">
        <v>700</v>
      </c>
      <c r="E1132" s="33" t="n">
        <v>8430942001704</v>
      </c>
      <c r="F1132" s="33" t="n">
        <v>1</v>
      </c>
      <c r="G1132" s="34" t="n">
        <v>32.12</v>
      </c>
      <c r="H1132" s="33" t="n">
        <v>69</v>
      </c>
      <c r="I1132" s="34" t="n">
        <f aca="false">G1132*((100-H1132)/100)</f>
        <v>9.9572</v>
      </c>
      <c r="J1132" s="35"/>
      <c r="K1132" s="36" t="n">
        <f aca="false">+F1132*J1132</f>
        <v>0</v>
      </c>
      <c r="L1132" s="37" t="n">
        <f aca="false">I1132*K1132</f>
        <v>0</v>
      </c>
    </row>
    <row r="1133" customFormat="false" ht="15" hidden="false" customHeight="false" outlineLevel="0" collapsed="false">
      <c r="A1133" s="32" t="s">
        <v>2188</v>
      </c>
      <c r="B1133" s="32" t="s">
        <v>23</v>
      </c>
      <c r="C1133" s="32" t="s">
        <v>2189</v>
      </c>
      <c r="D1133" s="32" t="s">
        <v>700</v>
      </c>
      <c r="E1133" s="33" t="n">
        <v>8430942001773</v>
      </c>
      <c r="F1133" s="33" t="n">
        <v>1</v>
      </c>
      <c r="G1133" s="34" t="n">
        <v>33.75</v>
      </c>
      <c r="H1133" s="33" t="n">
        <v>69</v>
      </c>
      <c r="I1133" s="34" t="n">
        <f aca="false">G1133*((100-H1133)/100)</f>
        <v>10.4625</v>
      </c>
      <c r="J1133" s="35"/>
      <c r="K1133" s="36" t="n">
        <f aca="false">+F1133*J1133</f>
        <v>0</v>
      </c>
      <c r="L1133" s="37" t="n">
        <f aca="false">I1133*K1133</f>
        <v>0</v>
      </c>
    </row>
    <row r="1134" customFormat="false" ht="15" hidden="false" customHeight="false" outlineLevel="0" collapsed="false">
      <c r="A1134" s="32" t="s">
        <v>2190</v>
      </c>
      <c r="B1134" s="32" t="s">
        <v>23</v>
      </c>
      <c r="C1134" s="32" t="s">
        <v>2191</v>
      </c>
      <c r="D1134" s="32" t="s">
        <v>700</v>
      </c>
      <c r="E1134" s="33" t="n">
        <v>8430942001780</v>
      </c>
      <c r="F1134" s="33" t="n">
        <v>1</v>
      </c>
      <c r="G1134" s="34" t="n">
        <v>34.52</v>
      </c>
      <c r="H1134" s="33" t="n">
        <v>69</v>
      </c>
      <c r="I1134" s="34" t="n">
        <f aca="false">G1134*((100-H1134)/100)</f>
        <v>10.7012</v>
      </c>
      <c r="J1134" s="35"/>
      <c r="K1134" s="36" t="n">
        <f aca="false">+F1134*J1134</f>
        <v>0</v>
      </c>
      <c r="L1134" s="37" t="n">
        <f aca="false">I1134*K1134</f>
        <v>0</v>
      </c>
    </row>
    <row r="1135" customFormat="false" ht="15" hidden="false" customHeight="false" outlineLevel="0" collapsed="false">
      <c r="A1135" s="32" t="s">
        <v>2192</v>
      </c>
      <c r="B1135" s="32" t="s">
        <v>23</v>
      </c>
      <c r="C1135" s="32" t="s">
        <v>2193</v>
      </c>
      <c r="D1135" s="32" t="s">
        <v>700</v>
      </c>
      <c r="E1135" s="33" t="n">
        <v>8430942001711</v>
      </c>
      <c r="F1135" s="33" t="n">
        <v>1</v>
      </c>
      <c r="G1135" s="34" t="n">
        <v>35.3</v>
      </c>
      <c r="H1135" s="33" t="n">
        <v>69</v>
      </c>
      <c r="I1135" s="34" t="n">
        <f aca="false">G1135*((100-H1135)/100)</f>
        <v>10.943</v>
      </c>
      <c r="J1135" s="35"/>
      <c r="K1135" s="36" t="n">
        <f aca="false">+F1135*J1135</f>
        <v>0</v>
      </c>
      <c r="L1135" s="37" t="n">
        <f aca="false">I1135*K1135</f>
        <v>0</v>
      </c>
    </row>
    <row r="1136" customFormat="false" ht="15" hidden="false" customHeight="false" outlineLevel="0" collapsed="false">
      <c r="A1136" s="32" t="s">
        <v>2194</v>
      </c>
      <c r="B1136" s="32" t="s">
        <v>23</v>
      </c>
      <c r="C1136" s="32" t="s">
        <v>2195</v>
      </c>
      <c r="D1136" s="32" t="s">
        <v>700</v>
      </c>
      <c r="E1136" s="33" t="n">
        <v>8430942001728</v>
      </c>
      <c r="F1136" s="33" t="n">
        <v>1</v>
      </c>
      <c r="G1136" s="34" t="n">
        <v>38.47</v>
      </c>
      <c r="H1136" s="33" t="n">
        <v>69</v>
      </c>
      <c r="I1136" s="34" t="n">
        <f aca="false">G1136*((100-H1136)/100)</f>
        <v>11.9257</v>
      </c>
      <c r="J1136" s="35"/>
      <c r="K1136" s="36" t="n">
        <f aca="false">+F1136*J1136</f>
        <v>0</v>
      </c>
      <c r="L1136" s="37" t="n">
        <f aca="false">I1136*K1136</f>
        <v>0</v>
      </c>
    </row>
    <row r="1137" customFormat="false" ht="15" hidden="false" customHeight="false" outlineLevel="0" collapsed="false">
      <c r="A1137" s="32" t="s">
        <v>2196</v>
      </c>
      <c r="B1137" s="32" t="s">
        <v>23</v>
      </c>
      <c r="C1137" s="32" t="s">
        <v>2197</v>
      </c>
      <c r="D1137" s="32" t="s">
        <v>700</v>
      </c>
      <c r="E1137" s="33" t="n">
        <v>8430942020439</v>
      </c>
      <c r="F1137" s="33" t="n">
        <v>1</v>
      </c>
      <c r="G1137" s="34" t="n">
        <v>38.7</v>
      </c>
      <c r="H1137" s="33" t="n">
        <v>69</v>
      </c>
      <c r="I1137" s="34" t="n">
        <f aca="false">G1137*((100-H1137)/100)</f>
        <v>11.997</v>
      </c>
      <c r="J1137" s="35"/>
      <c r="K1137" s="36" t="n">
        <f aca="false">+F1137*J1137</f>
        <v>0</v>
      </c>
      <c r="L1137" s="37" t="n">
        <f aca="false">I1137*K1137</f>
        <v>0</v>
      </c>
    </row>
    <row r="1138" customFormat="false" ht="15" hidden="false" customHeight="false" outlineLevel="0" collapsed="false">
      <c r="A1138" s="32" t="s">
        <v>2198</v>
      </c>
      <c r="B1138" s="32" t="s">
        <v>23</v>
      </c>
      <c r="C1138" s="32" t="s">
        <v>2199</v>
      </c>
      <c r="D1138" s="32" t="s">
        <v>700</v>
      </c>
      <c r="E1138" s="33" t="n">
        <v>8430942001735</v>
      </c>
      <c r="F1138" s="33" t="n">
        <v>1</v>
      </c>
      <c r="G1138" s="34" t="n">
        <v>50.16</v>
      </c>
      <c r="H1138" s="33" t="n">
        <v>69</v>
      </c>
      <c r="I1138" s="34" t="n">
        <f aca="false">G1138*((100-H1138)/100)</f>
        <v>15.5496</v>
      </c>
      <c r="J1138" s="35"/>
      <c r="K1138" s="36" t="n">
        <f aca="false">+F1138*J1138</f>
        <v>0</v>
      </c>
      <c r="L1138" s="37" t="n">
        <f aca="false">I1138*K1138</f>
        <v>0</v>
      </c>
    </row>
    <row r="1139" customFormat="false" ht="15" hidden="false" customHeight="false" outlineLevel="0" collapsed="false">
      <c r="A1139" s="32" t="s">
        <v>2200</v>
      </c>
      <c r="B1139" s="32" t="s">
        <v>23</v>
      </c>
      <c r="C1139" s="32" t="s">
        <v>2201</v>
      </c>
      <c r="D1139" s="32" t="s">
        <v>700</v>
      </c>
      <c r="E1139" s="33" t="n">
        <v>8430942019402</v>
      </c>
      <c r="F1139" s="33" t="n">
        <v>1</v>
      </c>
      <c r="G1139" s="34" t="n">
        <v>51.09</v>
      </c>
      <c r="H1139" s="33" t="n">
        <v>69</v>
      </c>
      <c r="I1139" s="34" t="n">
        <f aca="false">G1139*((100-H1139)/100)</f>
        <v>15.8379</v>
      </c>
      <c r="J1139" s="35"/>
      <c r="K1139" s="36" t="n">
        <f aca="false">+F1139*J1139</f>
        <v>0</v>
      </c>
      <c r="L1139" s="37" t="n">
        <f aca="false">I1139*K1139</f>
        <v>0</v>
      </c>
    </row>
    <row r="1140" customFormat="false" ht="15" hidden="false" customHeight="false" outlineLevel="0" collapsed="false">
      <c r="A1140" s="32" t="s">
        <v>2202</v>
      </c>
      <c r="B1140" s="32" t="s">
        <v>23</v>
      </c>
      <c r="C1140" s="32" t="s">
        <v>2203</v>
      </c>
      <c r="D1140" s="32" t="s">
        <v>700</v>
      </c>
      <c r="E1140" s="33" t="n">
        <v>8430942001742</v>
      </c>
      <c r="F1140" s="33" t="n">
        <v>1</v>
      </c>
      <c r="G1140" s="34" t="n">
        <v>50.78</v>
      </c>
      <c r="H1140" s="33" t="n">
        <v>69</v>
      </c>
      <c r="I1140" s="34" t="n">
        <f aca="false">G1140*((100-H1140)/100)</f>
        <v>15.7418</v>
      </c>
      <c r="J1140" s="35"/>
      <c r="K1140" s="36" t="n">
        <f aca="false">+F1140*J1140</f>
        <v>0</v>
      </c>
      <c r="L1140" s="37" t="n">
        <f aca="false">I1140*K1140</f>
        <v>0</v>
      </c>
    </row>
    <row r="1141" customFormat="false" ht="15" hidden="false" customHeight="false" outlineLevel="0" collapsed="false">
      <c r="A1141" s="32" t="s">
        <v>2204</v>
      </c>
      <c r="B1141" s="32" t="s">
        <v>23</v>
      </c>
      <c r="C1141" s="32" t="s">
        <v>2205</v>
      </c>
      <c r="D1141" s="32" t="s">
        <v>700</v>
      </c>
      <c r="E1141" s="33" t="n">
        <v>8430942001797</v>
      </c>
      <c r="F1141" s="33" t="n">
        <v>1</v>
      </c>
      <c r="G1141" s="34" t="n">
        <v>52.25</v>
      </c>
      <c r="H1141" s="33" t="n">
        <v>69</v>
      </c>
      <c r="I1141" s="34" t="n">
        <f aca="false">G1141*((100-H1141)/100)</f>
        <v>16.1975</v>
      </c>
      <c r="J1141" s="35"/>
      <c r="K1141" s="36" t="n">
        <f aca="false">+F1141*J1141</f>
        <v>0</v>
      </c>
      <c r="L1141" s="37" t="n">
        <f aca="false">I1141*K1141</f>
        <v>0</v>
      </c>
    </row>
    <row r="1142" customFormat="false" ht="15" hidden="false" customHeight="false" outlineLevel="0" collapsed="false">
      <c r="A1142" s="32" t="s">
        <v>2206</v>
      </c>
      <c r="B1142" s="32" t="s">
        <v>23</v>
      </c>
      <c r="C1142" s="32" t="s">
        <v>2207</v>
      </c>
      <c r="D1142" s="32" t="s">
        <v>700</v>
      </c>
      <c r="E1142" s="33" t="n">
        <v>8430942001759</v>
      </c>
      <c r="F1142" s="33" t="n">
        <v>1</v>
      </c>
      <c r="G1142" s="34" t="n">
        <v>62.7</v>
      </c>
      <c r="H1142" s="33" t="n">
        <v>69</v>
      </c>
      <c r="I1142" s="34" t="n">
        <f aca="false">G1142*((100-H1142)/100)</f>
        <v>19.437</v>
      </c>
      <c r="J1142" s="35"/>
      <c r="K1142" s="36" t="n">
        <f aca="false">+F1142*J1142</f>
        <v>0</v>
      </c>
      <c r="L1142" s="37" t="n">
        <f aca="false">I1142*K1142</f>
        <v>0</v>
      </c>
    </row>
    <row r="1143" customFormat="false" ht="15" hidden="false" customHeight="false" outlineLevel="0" collapsed="false">
      <c r="A1143" s="32" t="s">
        <v>2208</v>
      </c>
      <c r="B1143" s="32" t="s">
        <v>23</v>
      </c>
      <c r="C1143" s="32" t="s">
        <v>2209</v>
      </c>
      <c r="D1143" s="32" t="s">
        <v>700</v>
      </c>
      <c r="E1143" s="33" t="n">
        <v>8430942019860</v>
      </c>
      <c r="F1143" s="33" t="n">
        <v>1</v>
      </c>
      <c r="G1143" s="34" t="n">
        <v>76.63</v>
      </c>
      <c r="H1143" s="33" t="n">
        <v>69</v>
      </c>
      <c r="I1143" s="34" t="n">
        <f aca="false">G1143*((100-H1143)/100)</f>
        <v>23.7553</v>
      </c>
      <c r="J1143" s="35"/>
      <c r="K1143" s="36" t="n">
        <f aca="false">+F1143*J1143</f>
        <v>0</v>
      </c>
      <c r="L1143" s="37" t="n">
        <f aca="false">I1143*K1143</f>
        <v>0</v>
      </c>
    </row>
    <row r="1144" customFormat="false" ht="15" hidden="false" customHeight="false" outlineLevel="0" collapsed="false">
      <c r="A1144" s="32" t="s">
        <v>2210</v>
      </c>
      <c r="B1144" s="32" t="s">
        <v>23</v>
      </c>
      <c r="C1144" s="32" t="s">
        <v>2211</v>
      </c>
      <c r="D1144" s="32" t="s">
        <v>700</v>
      </c>
      <c r="E1144" s="33" t="n">
        <v>8430942001698</v>
      </c>
      <c r="F1144" s="33" t="n">
        <v>1</v>
      </c>
      <c r="G1144" s="34" t="n">
        <v>77.4</v>
      </c>
      <c r="H1144" s="33" t="n">
        <v>69</v>
      </c>
      <c r="I1144" s="34" t="n">
        <f aca="false">G1144*((100-H1144)/100)</f>
        <v>23.994</v>
      </c>
      <c r="J1144" s="35"/>
      <c r="K1144" s="36" t="n">
        <f aca="false">+F1144*J1144</f>
        <v>0</v>
      </c>
      <c r="L1144" s="37" t="n">
        <f aca="false">I1144*K1144</f>
        <v>0</v>
      </c>
    </row>
    <row r="1145" customFormat="false" ht="15" hidden="false" customHeight="false" outlineLevel="0" collapsed="false">
      <c r="A1145" s="32" t="s">
        <v>2212</v>
      </c>
      <c r="B1145" s="32" t="s">
        <v>23</v>
      </c>
      <c r="C1145" s="32" t="s">
        <v>2213</v>
      </c>
      <c r="D1145" s="32" t="s">
        <v>571</v>
      </c>
      <c r="E1145" s="33" t="n">
        <v>8430942325619</v>
      </c>
      <c r="F1145" s="33" t="n">
        <v>1</v>
      </c>
      <c r="G1145" s="34" t="n">
        <v>5.08</v>
      </c>
      <c r="H1145" s="33" t="n">
        <v>69</v>
      </c>
      <c r="I1145" s="34" t="n">
        <f aca="false">G1145*((100-H1145)/100)</f>
        <v>1.5748</v>
      </c>
      <c r="J1145" s="35"/>
      <c r="K1145" s="36" t="n">
        <f aca="false">+F1145*J1145</f>
        <v>0</v>
      </c>
      <c r="L1145" s="37" t="n">
        <f aca="false">I1145*K1145</f>
        <v>0</v>
      </c>
    </row>
    <row r="1146" customFormat="false" ht="15" hidden="false" customHeight="false" outlineLevel="0" collapsed="false">
      <c r="A1146" s="32" t="s">
        <v>2214</v>
      </c>
      <c r="B1146" s="32" t="s">
        <v>23</v>
      </c>
      <c r="C1146" s="32" t="s">
        <v>2215</v>
      </c>
      <c r="D1146" s="32" t="s">
        <v>571</v>
      </c>
      <c r="E1146" s="33" t="n">
        <v>8430942325626</v>
      </c>
      <c r="F1146" s="33" t="n">
        <v>1</v>
      </c>
      <c r="G1146" s="34" t="n">
        <v>5.08</v>
      </c>
      <c r="H1146" s="33" t="n">
        <v>69</v>
      </c>
      <c r="I1146" s="34" t="n">
        <f aca="false">G1146*((100-H1146)/100)</f>
        <v>1.5748</v>
      </c>
      <c r="J1146" s="35"/>
      <c r="K1146" s="36" t="n">
        <f aca="false">+F1146*J1146</f>
        <v>0</v>
      </c>
      <c r="L1146" s="37" t="n">
        <f aca="false">I1146*K1146</f>
        <v>0</v>
      </c>
    </row>
    <row r="1147" customFormat="false" ht="15" hidden="false" customHeight="false" outlineLevel="0" collapsed="false">
      <c r="A1147" s="32" t="s">
        <v>2216</v>
      </c>
      <c r="B1147" s="32" t="s">
        <v>23</v>
      </c>
      <c r="C1147" s="32" t="s">
        <v>2217</v>
      </c>
      <c r="D1147" s="32" t="s">
        <v>571</v>
      </c>
      <c r="E1147" s="33" t="n">
        <v>8430942325633</v>
      </c>
      <c r="F1147" s="33" t="n">
        <v>1</v>
      </c>
      <c r="G1147" s="34" t="n">
        <v>5.08</v>
      </c>
      <c r="H1147" s="33" t="n">
        <v>69</v>
      </c>
      <c r="I1147" s="34" t="n">
        <f aca="false">G1147*((100-H1147)/100)</f>
        <v>1.5748</v>
      </c>
      <c r="J1147" s="35"/>
      <c r="K1147" s="36" t="n">
        <f aca="false">+F1147*J1147</f>
        <v>0</v>
      </c>
      <c r="L1147" s="37" t="n">
        <f aca="false">I1147*K1147</f>
        <v>0</v>
      </c>
    </row>
    <row r="1148" customFormat="false" ht="15" hidden="false" customHeight="false" outlineLevel="0" collapsed="false">
      <c r="A1148" s="32" t="s">
        <v>2218</v>
      </c>
      <c r="B1148" s="32" t="s">
        <v>23</v>
      </c>
      <c r="C1148" s="32" t="s">
        <v>2219</v>
      </c>
      <c r="D1148" s="32" t="s">
        <v>571</v>
      </c>
      <c r="E1148" s="33" t="n">
        <v>8430942325640</v>
      </c>
      <c r="F1148" s="33" t="n">
        <v>1</v>
      </c>
      <c r="G1148" s="34" t="n">
        <v>5.08</v>
      </c>
      <c r="H1148" s="33" t="n">
        <v>69</v>
      </c>
      <c r="I1148" s="34" t="n">
        <f aca="false">G1148*((100-H1148)/100)</f>
        <v>1.5748</v>
      </c>
      <c r="J1148" s="35"/>
      <c r="K1148" s="36" t="n">
        <f aca="false">+F1148*J1148</f>
        <v>0</v>
      </c>
      <c r="L1148" s="37" t="n">
        <f aca="false">I1148*K1148</f>
        <v>0</v>
      </c>
    </row>
    <row r="1149" customFormat="false" ht="15" hidden="false" customHeight="false" outlineLevel="0" collapsed="false">
      <c r="A1149" s="32" t="s">
        <v>2220</v>
      </c>
      <c r="B1149" s="32" t="s">
        <v>23</v>
      </c>
      <c r="C1149" s="32" t="s">
        <v>2221</v>
      </c>
      <c r="D1149" s="32" t="s">
        <v>571</v>
      </c>
      <c r="E1149" s="33" t="n">
        <v>8430942325657</v>
      </c>
      <c r="F1149" s="33" t="n">
        <v>1</v>
      </c>
      <c r="G1149" s="34" t="n">
        <v>5.55</v>
      </c>
      <c r="H1149" s="33" t="n">
        <v>69</v>
      </c>
      <c r="I1149" s="34" t="n">
        <f aca="false">G1149*((100-H1149)/100)</f>
        <v>1.7205</v>
      </c>
      <c r="J1149" s="35"/>
      <c r="K1149" s="36" t="n">
        <f aca="false">+F1149*J1149</f>
        <v>0</v>
      </c>
      <c r="L1149" s="37" t="n">
        <f aca="false">I1149*K1149</f>
        <v>0</v>
      </c>
    </row>
    <row r="1150" customFormat="false" ht="15" hidden="false" customHeight="false" outlineLevel="0" collapsed="false">
      <c r="A1150" s="32" t="s">
        <v>2222</v>
      </c>
      <c r="B1150" s="32" t="s">
        <v>23</v>
      </c>
      <c r="C1150" s="32" t="s">
        <v>2223</v>
      </c>
      <c r="D1150" s="32" t="s">
        <v>571</v>
      </c>
      <c r="E1150" s="33" t="n">
        <v>8430942325664</v>
      </c>
      <c r="F1150" s="33" t="n">
        <v>1</v>
      </c>
      <c r="G1150" s="34" t="n">
        <v>6.77</v>
      </c>
      <c r="H1150" s="33" t="n">
        <v>69</v>
      </c>
      <c r="I1150" s="34" t="n">
        <f aca="false">G1150*((100-H1150)/100)</f>
        <v>2.0987</v>
      </c>
      <c r="J1150" s="35"/>
      <c r="K1150" s="36" t="n">
        <f aca="false">+F1150*J1150</f>
        <v>0</v>
      </c>
      <c r="L1150" s="37" t="n">
        <f aca="false">I1150*K1150</f>
        <v>0</v>
      </c>
    </row>
    <row r="1151" customFormat="false" ht="15" hidden="false" customHeight="false" outlineLevel="0" collapsed="false">
      <c r="A1151" s="32" t="s">
        <v>2224</v>
      </c>
      <c r="B1151" s="32" t="s">
        <v>23</v>
      </c>
      <c r="C1151" s="32" t="s">
        <v>2225</v>
      </c>
      <c r="D1151" s="32" t="s">
        <v>571</v>
      </c>
      <c r="E1151" s="33" t="n">
        <v>8430942325671</v>
      </c>
      <c r="F1151" s="33" t="n">
        <v>1</v>
      </c>
      <c r="G1151" s="34" t="n">
        <v>6.77</v>
      </c>
      <c r="H1151" s="33" t="n">
        <v>69</v>
      </c>
      <c r="I1151" s="34" t="n">
        <f aca="false">G1151*((100-H1151)/100)</f>
        <v>2.0987</v>
      </c>
      <c r="J1151" s="35"/>
      <c r="K1151" s="36" t="n">
        <f aca="false">+F1151*J1151</f>
        <v>0</v>
      </c>
      <c r="L1151" s="37" t="n">
        <f aca="false">I1151*K1151</f>
        <v>0</v>
      </c>
    </row>
    <row r="1152" customFormat="false" ht="15" hidden="false" customHeight="false" outlineLevel="0" collapsed="false">
      <c r="A1152" s="32" t="s">
        <v>2226</v>
      </c>
      <c r="B1152" s="32" t="s">
        <v>23</v>
      </c>
      <c r="C1152" s="32" t="s">
        <v>2227</v>
      </c>
      <c r="D1152" s="32" t="s">
        <v>571</v>
      </c>
      <c r="E1152" s="33" t="n">
        <v>8430942325688</v>
      </c>
      <c r="F1152" s="33" t="n">
        <v>1</v>
      </c>
      <c r="G1152" s="34" t="n">
        <v>6.77</v>
      </c>
      <c r="H1152" s="33" t="n">
        <v>69</v>
      </c>
      <c r="I1152" s="34" t="n">
        <f aca="false">G1152*((100-H1152)/100)</f>
        <v>2.0987</v>
      </c>
      <c r="J1152" s="35"/>
      <c r="K1152" s="36" t="n">
        <f aca="false">+F1152*J1152</f>
        <v>0</v>
      </c>
      <c r="L1152" s="37" t="n">
        <f aca="false">I1152*K1152</f>
        <v>0</v>
      </c>
    </row>
    <row r="1153" customFormat="false" ht="15" hidden="false" customHeight="false" outlineLevel="0" collapsed="false">
      <c r="A1153" s="32" t="s">
        <v>2228</v>
      </c>
      <c r="B1153" s="32" t="s">
        <v>23</v>
      </c>
      <c r="C1153" s="32" t="s">
        <v>2229</v>
      </c>
      <c r="D1153" s="32" t="s">
        <v>571</v>
      </c>
      <c r="E1153" s="33" t="n">
        <v>8430942325701</v>
      </c>
      <c r="F1153" s="33" t="n">
        <v>1</v>
      </c>
      <c r="G1153" s="34" t="n">
        <v>7.75</v>
      </c>
      <c r="H1153" s="33" t="n">
        <v>69</v>
      </c>
      <c r="I1153" s="34" t="n">
        <f aca="false">G1153*((100-H1153)/100)</f>
        <v>2.4025</v>
      </c>
      <c r="J1153" s="35"/>
      <c r="K1153" s="36" t="n">
        <f aca="false">+F1153*J1153</f>
        <v>0</v>
      </c>
      <c r="L1153" s="37" t="n">
        <f aca="false">I1153*K1153</f>
        <v>0</v>
      </c>
    </row>
    <row r="1154" customFormat="false" ht="15" hidden="false" customHeight="false" outlineLevel="0" collapsed="false">
      <c r="A1154" s="32" t="s">
        <v>2230</v>
      </c>
      <c r="B1154" s="32" t="s">
        <v>23</v>
      </c>
      <c r="C1154" s="32" t="s">
        <v>2231</v>
      </c>
      <c r="D1154" s="32" t="s">
        <v>571</v>
      </c>
      <c r="E1154" s="33" t="n">
        <v>8430942325718</v>
      </c>
      <c r="F1154" s="33" t="n">
        <v>1</v>
      </c>
      <c r="G1154" s="34" t="n">
        <v>8.47</v>
      </c>
      <c r="H1154" s="33" t="n">
        <v>69</v>
      </c>
      <c r="I1154" s="34" t="n">
        <f aca="false">G1154*((100-H1154)/100)</f>
        <v>2.6257</v>
      </c>
      <c r="J1154" s="35"/>
      <c r="K1154" s="36" t="n">
        <f aca="false">+F1154*J1154</f>
        <v>0</v>
      </c>
      <c r="L1154" s="37" t="n">
        <f aca="false">I1154*K1154</f>
        <v>0</v>
      </c>
    </row>
    <row r="1155" customFormat="false" ht="15" hidden="false" customHeight="false" outlineLevel="0" collapsed="false">
      <c r="A1155" s="32" t="s">
        <v>2232</v>
      </c>
      <c r="B1155" s="32" t="s">
        <v>23</v>
      </c>
      <c r="C1155" s="32" t="s">
        <v>2233</v>
      </c>
      <c r="D1155" s="32" t="s">
        <v>571</v>
      </c>
      <c r="E1155" s="33" t="n">
        <v>8430942325732</v>
      </c>
      <c r="F1155" s="33" t="n">
        <v>1</v>
      </c>
      <c r="G1155" s="34" t="n">
        <v>12.13</v>
      </c>
      <c r="H1155" s="33" t="n">
        <v>69</v>
      </c>
      <c r="I1155" s="34" t="n">
        <f aca="false">G1155*((100-H1155)/100)</f>
        <v>3.7603</v>
      </c>
      <c r="J1155" s="35"/>
      <c r="K1155" s="36" t="n">
        <f aca="false">+F1155*J1155</f>
        <v>0</v>
      </c>
      <c r="L1155" s="37" t="n">
        <f aca="false">I1155*K1155</f>
        <v>0</v>
      </c>
    </row>
    <row r="1156" customFormat="false" ht="15" hidden="false" customHeight="false" outlineLevel="0" collapsed="false">
      <c r="A1156" s="32" t="s">
        <v>2234</v>
      </c>
      <c r="B1156" s="32" t="s">
        <v>23</v>
      </c>
      <c r="C1156" s="32" t="s">
        <v>2235</v>
      </c>
      <c r="D1156" s="32" t="s">
        <v>571</v>
      </c>
      <c r="E1156" s="33" t="n">
        <v>8430942325749</v>
      </c>
      <c r="F1156" s="33" t="n">
        <v>1</v>
      </c>
      <c r="G1156" s="34" t="n">
        <v>14.76</v>
      </c>
      <c r="H1156" s="33" t="n">
        <v>69</v>
      </c>
      <c r="I1156" s="34" t="n">
        <f aca="false">G1156*((100-H1156)/100)</f>
        <v>4.5756</v>
      </c>
      <c r="J1156" s="35"/>
      <c r="K1156" s="36" t="n">
        <f aca="false">+F1156*J1156</f>
        <v>0</v>
      </c>
      <c r="L1156" s="37" t="n">
        <f aca="false">I1156*K1156</f>
        <v>0</v>
      </c>
    </row>
    <row r="1157" customFormat="false" ht="15" hidden="false" customHeight="false" outlineLevel="0" collapsed="false">
      <c r="A1157" s="32" t="s">
        <v>2236</v>
      </c>
      <c r="B1157" s="32" t="s">
        <v>23</v>
      </c>
      <c r="C1157" s="32" t="s">
        <v>2237</v>
      </c>
      <c r="D1157" s="32" t="s">
        <v>2238</v>
      </c>
      <c r="E1157" s="33" t="n">
        <v>8430942325541</v>
      </c>
      <c r="F1157" s="33" t="n">
        <v>1</v>
      </c>
      <c r="G1157" s="34" t="n">
        <v>14.7</v>
      </c>
      <c r="H1157" s="33" t="n">
        <v>69</v>
      </c>
      <c r="I1157" s="34" t="n">
        <f aca="false">G1157*((100-H1157)/100)</f>
        <v>4.557</v>
      </c>
      <c r="J1157" s="35"/>
      <c r="K1157" s="36" t="n">
        <f aca="false">+F1157*J1157</f>
        <v>0</v>
      </c>
      <c r="L1157" s="37" t="n">
        <f aca="false">I1157*K1157</f>
        <v>0</v>
      </c>
    </row>
    <row r="1158" customFormat="false" ht="15" hidden="false" customHeight="false" outlineLevel="0" collapsed="false">
      <c r="A1158" s="32" t="s">
        <v>2239</v>
      </c>
      <c r="B1158" s="32" t="s">
        <v>23</v>
      </c>
      <c r="C1158" s="32" t="s">
        <v>2240</v>
      </c>
      <c r="D1158" s="32" t="s">
        <v>2238</v>
      </c>
      <c r="E1158" s="33" t="n">
        <v>8430942325558</v>
      </c>
      <c r="F1158" s="33" t="n">
        <v>1</v>
      </c>
      <c r="G1158" s="34" t="n">
        <v>23.92</v>
      </c>
      <c r="H1158" s="33" t="n">
        <v>69</v>
      </c>
      <c r="I1158" s="34" t="n">
        <f aca="false">G1158*((100-H1158)/100)</f>
        <v>7.4152</v>
      </c>
      <c r="J1158" s="35"/>
      <c r="K1158" s="36" t="n">
        <f aca="false">+F1158*J1158</f>
        <v>0</v>
      </c>
      <c r="L1158" s="37" t="n">
        <f aca="false">I1158*K1158</f>
        <v>0</v>
      </c>
    </row>
    <row r="1159" customFormat="false" ht="15" hidden="false" customHeight="false" outlineLevel="0" collapsed="false">
      <c r="A1159" s="32" t="s">
        <v>2241</v>
      </c>
      <c r="B1159" s="32" t="s">
        <v>23</v>
      </c>
      <c r="C1159" s="32" t="s">
        <v>2242</v>
      </c>
      <c r="D1159" s="32" t="s">
        <v>2238</v>
      </c>
      <c r="E1159" s="33" t="n">
        <v>8430942325565</v>
      </c>
      <c r="F1159" s="33" t="n">
        <v>1</v>
      </c>
      <c r="G1159" s="34" t="n">
        <v>34.4</v>
      </c>
      <c r="H1159" s="33" t="n">
        <v>69</v>
      </c>
      <c r="I1159" s="34" t="n">
        <f aca="false">G1159*((100-H1159)/100)</f>
        <v>10.664</v>
      </c>
      <c r="J1159" s="35"/>
      <c r="K1159" s="36" t="n">
        <f aca="false">+F1159*J1159</f>
        <v>0</v>
      </c>
      <c r="L1159" s="37" t="n">
        <f aca="false">I1159*K1159</f>
        <v>0</v>
      </c>
    </row>
    <row r="1160" customFormat="false" ht="15" hidden="false" customHeight="false" outlineLevel="0" collapsed="false">
      <c r="A1160" s="32" t="s">
        <v>2243</v>
      </c>
      <c r="B1160" s="32" t="s">
        <v>23</v>
      </c>
      <c r="C1160" s="32" t="s">
        <v>2244</v>
      </c>
      <c r="D1160" s="32" t="s">
        <v>2238</v>
      </c>
      <c r="E1160" s="33" t="n">
        <v>8430942325572</v>
      </c>
      <c r="F1160" s="33" t="n">
        <v>1</v>
      </c>
      <c r="G1160" s="34" t="n">
        <v>41.2</v>
      </c>
      <c r="H1160" s="33" t="n">
        <v>69</v>
      </c>
      <c r="I1160" s="34" t="n">
        <f aca="false">G1160*((100-H1160)/100)</f>
        <v>12.772</v>
      </c>
      <c r="J1160" s="35"/>
      <c r="K1160" s="36" t="n">
        <f aca="false">+F1160*J1160</f>
        <v>0</v>
      </c>
      <c r="L1160" s="37" t="n">
        <f aca="false">I1160*K1160</f>
        <v>0</v>
      </c>
    </row>
    <row r="1161" customFormat="false" ht="15" hidden="false" customHeight="false" outlineLevel="0" collapsed="false">
      <c r="A1161" s="32" t="s">
        <v>2245</v>
      </c>
      <c r="B1161" s="32" t="s">
        <v>23</v>
      </c>
      <c r="C1161" s="32" t="s">
        <v>2246</v>
      </c>
      <c r="D1161" s="32" t="s">
        <v>2238</v>
      </c>
      <c r="E1161" s="33" t="n">
        <v>8430942325589</v>
      </c>
      <c r="F1161" s="33" t="n">
        <v>1</v>
      </c>
      <c r="G1161" s="34" t="n">
        <v>48.47</v>
      </c>
      <c r="H1161" s="33" t="n">
        <v>69</v>
      </c>
      <c r="I1161" s="34" t="n">
        <f aca="false">G1161*((100-H1161)/100)</f>
        <v>15.0257</v>
      </c>
      <c r="J1161" s="35"/>
      <c r="K1161" s="36" t="n">
        <f aca="false">+F1161*J1161</f>
        <v>0</v>
      </c>
      <c r="L1161" s="37" t="n">
        <f aca="false">I1161*K1161</f>
        <v>0</v>
      </c>
    </row>
    <row r="1162" customFormat="false" ht="15" hidden="false" customHeight="false" outlineLevel="0" collapsed="false">
      <c r="A1162" s="32" t="s">
        <v>2247</v>
      </c>
      <c r="B1162" s="32" t="s">
        <v>23</v>
      </c>
      <c r="C1162" s="32" t="s">
        <v>2248</v>
      </c>
      <c r="D1162" s="32" t="s">
        <v>2238</v>
      </c>
      <c r="E1162" s="33" t="n">
        <v>8430942325596</v>
      </c>
      <c r="F1162" s="33" t="n">
        <v>1</v>
      </c>
      <c r="G1162" s="34" t="n">
        <v>58.55</v>
      </c>
      <c r="H1162" s="33" t="n">
        <v>69</v>
      </c>
      <c r="I1162" s="34" t="n">
        <f aca="false">G1162*((100-H1162)/100)</f>
        <v>18.1505</v>
      </c>
      <c r="J1162" s="35"/>
      <c r="K1162" s="36" t="n">
        <f aca="false">+F1162*J1162</f>
        <v>0</v>
      </c>
      <c r="L1162" s="37" t="n">
        <f aca="false">I1162*K1162</f>
        <v>0</v>
      </c>
    </row>
    <row r="1163" customFormat="false" ht="15" hidden="false" customHeight="false" outlineLevel="0" collapsed="false">
      <c r="A1163" s="32" t="s">
        <v>2249</v>
      </c>
      <c r="B1163" s="32" t="s">
        <v>23</v>
      </c>
      <c r="C1163" s="32" t="s">
        <v>2250</v>
      </c>
      <c r="D1163" s="32" t="s">
        <v>2238</v>
      </c>
      <c r="E1163" s="33" t="n">
        <v>8430942325602</v>
      </c>
      <c r="F1163" s="33" t="n">
        <v>1</v>
      </c>
      <c r="G1163" s="34" t="n">
        <v>77.67</v>
      </c>
      <c r="H1163" s="33" t="n">
        <v>69</v>
      </c>
      <c r="I1163" s="34" t="n">
        <f aca="false">G1163*((100-H1163)/100)</f>
        <v>24.0777</v>
      </c>
      <c r="J1163" s="35"/>
      <c r="K1163" s="36" t="n">
        <f aca="false">+F1163*J1163</f>
        <v>0</v>
      </c>
      <c r="L1163" s="37" t="n">
        <f aca="false">I1163*K1163</f>
        <v>0</v>
      </c>
    </row>
    <row r="1164" customFormat="false" ht="15" hidden="false" customHeight="false" outlineLevel="0" collapsed="false">
      <c r="A1164" s="32" t="s">
        <v>2251</v>
      </c>
      <c r="B1164" s="32" t="s">
        <v>23</v>
      </c>
      <c r="C1164" s="32" t="s">
        <v>2252</v>
      </c>
      <c r="D1164" s="32" t="s">
        <v>588</v>
      </c>
      <c r="E1164" s="33" t="n">
        <v>8430942326586</v>
      </c>
      <c r="F1164" s="33" t="n">
        <v>1</v>
      </c>
      <c r="G1164" s="34" t="n">
        <v>5.94</v>
      </c>
      <c r="H1164" s="33" t="n">
        <v>69</v>
      </c>
      <c r="I1164" s="34" t="n">
        <f aca="false">G1164*((100-H1164)/100)</f>
        <v>1.8414</v>
      </c>
      <c r="J1164" s="35"/>
      <c r="K1164" s="36" t="n">
        <f aca="false">+F1164*J1164</f>
        <v>0</v>
      </c>
      <c r="L1164" s="37" t="n">
        <f aca="false">I1164*K1164</f>
        <v>0</v>
      </c>
    </row>
    <row r="1165" customFormat="false" ht="15" hidden="false" customHeight="false" outlineLevel="0" collapsed="false">
      <c r="A1165" s="32" t="s">
        <v>2253</v>
      </c>
      <c r="B1165" s="32" t="s">
        <v>23</v>
      </c>
      <c r="C1165" s="32" t="s">
        <v>2254</v>
      </c>
      <c r="D1165" s="32" t="s">
        <v>588</v>
      </c>
      <c r="E1165" s="33" t="n">
        <v>8430942326593</v>
      </c>
      <c r="F1165" s="33" t="n">
        <v>1</v>
      </c>
      <c r="G1165" s="34" t="n">
        <v>5.94</v>
      </c>
      <c r="H1165" s="33" t="n">
        <v>69</v>
      </c>
      <c r="I1165" s="34" t="n">
        <f aca="false">G1165*((100-H1165)/100)</f>
        <v>1.8414</v>
      </c>
      <c r="J1165" s="35"/>
      <c r="K1165" s="36" t="n">
        <f aca="false">+F1165*J1165</f>
        <v>0</v>
      </c>
      <c r="L1165" s="37" t="n">
        <f aca="false">I1165*K1165</f>
        <v>0</v>
      </c>
    </row>
    <row r="1166" customFormat="false" ht="15" hidden="false" customHeight="false" outlineLevel="0" collapsed="false">
      <c r="A1166" s="32" t="s">
        <v>2255</v>
      </c>
      <c r="B1166" s="32" t="s">
        <v>23</v>
      </c>
      <c r="C1166" s="32" t="s">
        <v>2256</v>
      </c>
      <c r="D1166" s="32" t="s">
        <v>588</v>
      </c>
      <c r="E1166" s="33" t="n">
        <v>8430942326609</v>
      </c>
      <c r="F1166" s="33" t="n">
        <v>1</v>
      </c>
      <c r="G1166" s="34" t="n">
        <v>5.94</v>
      </c>
      <c r="H1166" s="33" t="n">
        <v>69</v>
      </c>
      <c r="I1166" s="34" t="n">
        <f aca="false">G1166*((100-H1166)/100)</f>
        <v>1.8414</v>
      </c>
      <c r="J1166" s="35"/>
      <c r="K1166" s="36" t="n">
        <f aca="false">+F1166*J1166</f>
        <v>0</v>
      </c>
      <c r="L1166" s="37" t="n">
        <f aca="false">I1166*K1166</f>
        <v>0</v>
      </c>
    </row>
    <row r="1167" customFormat="false" ht="15" hidden="false" customHeight="false" outlineLevel="0" collapsed="false">
      <c r="A1167" s="32" t="s">
        <v>2257</v>
      </c>
      <c r="B1167" s="32" t="s">
        <v>23</v>
      </c>
      <c r="C1167" s="32" t="s">
        <v>2258</v>
      </c>
      <c r="D1167" s="32" t="s">
        <v>588</v>
      </c>
      <c r="E1167" s="33" t="n">
        <v>8430942326616</v>
      </c>
      <c r="F1167" s="33" t="n">
        <v>1</v>
      </c>
      <c r="G1167" s="34" t="n">
        <v>7.04</v>
      </c>
      <c r="H1167" s="33" t="n">
        <v>69</v>
      </c>
      <c r="I1167" s="34" t="n">
        <f aca="false">G1167*((100-H1167)/100)</f>
        <v>2.1824</v>
      </c>
      <c r="J1167" s="35"/>
      <c r="K1167" s="36" t="n">
        <f aca="false">+F1167*J1167</f>
        <v>0</v>
      </c>
      <c r="L1167" s="37" t="n">
        <f aca="false">I1167*K1167</f>
        <v>0</v>
      </c>
    </row>
    <row r="1168" customFormat="false" ht="15" hidden="false" customHeight="false" outlineLevel="0" collapsed="false">
      <c r="A1168" s="32" t="s">
        <v>2259</v>
      </c>
      <c r="B1168" s="32" t="s">
        <v>23</v>
      </c>
      <c r="C1168" s="32" t="s">
        <v>2260</v>
      </c>
      <c r="D1168" s="32" t="s">
        <v>588</v>
      </c>
      <c r="E1168" s="33" t="n">
        <v>8430942326630</v>
      </c>
      <c r="F1168" s="33" t="n">
        <v>1</v>
      </c>
      <c r="G1168" s="34" t="n">
        <v>8.6</v>
      </c>
      <c r="H1168" s="33" t="n">
        <v>69</v>
      </c>
      <c r="I1168" s="34" t="n">
        <f aca="false">G1168*((100-H1168)/100)</f>
        <v>2.666</v>
      </c>
      <c r="J1168" s="35"/>
      <c r="K1168" s="36" t="n">
        <f aca="false">+F1168*J1168</f>
        <v>0</v>
      </c>
      <c r="L1168" s="37" t="n">
        <f aca="false">I1168*K1168</f>
        <v>0</v>
      </c>
    </row>
    <row r="1169" customFormat="false" ht="15" hidden="false" customHeight="false" outlineLevel="0" collapsed="false">
      <c r="A1169" s="32" t="s">
        <v>2261</v>
      </c>
      <c r="B1169" s="32" t="s">
        <v>23</v>
      </c>
      <c r="C1169" s="32" t="s">
        <v>2262</v>
      </c>
      <c r="D1169" s="32" t="s">
        <v>588</v>
      </c>
      <c r="E1169" s="33" t="n">
        <v>8430942326647</v>
      </c>
      <c r="F1169" s="33" t="n">
        <v>1</v>
      </c>
      <c r="G1169" s="34" t="n">
        <v>10.16</v>
      </c>
      <c r="H1169" s="33" t="n">
        <v>69</v>
      </c>
      <c r="I1169" s="34" t="n">
        <f aca="false">G1169*((100-H1169)/100)</f>
        <v>3.1496</v>
      </c>
      <c r="J1169" s="35"/>
      <c r="K1169" s="36" t="n">
        <f aca="false">+F1169*J1169</f>
        <v>0</v>
      </c>
      <c r="L1169" s="37" t="n">
        <f aca="false">I1169*K1169</f>
        <v>0</v>
      </c>
    </row>
    <row r="1170" customFormat="false" ht="15" hidden="false" customHeight="false" outlineLevel="0" collapsed="false">
      <c r="A1170" s="32" t="s">
        <v>2263</v>
      </c>
      <c r="B1170" s="32" t="s">
        <v>23</v>
      </c>
      <c r="C1170" s="32" t="s">
        <v>2264</v>
      </c>
      <c r="D1170" s="32" t="s">
        <v>588</v>
      </c>
      <c r="E1170" s="33" t="n">
        <v>8430942326654</v>
      </c>
      <c r="F1170" s="33" t="n">
        <v>1</v>
      </c>
      <c r="G1170" s="34" t="n">
        <v>10.16</v>
      </c>
      <c r="H1170" s="33" t="n">
        <v>69</v>
      </c>
      <c r="I1170" s="34" t="n">
        <f aca="false">G1170*((100-H1170)/100)</f>
        <v>3.1496</v>
      </c>
      <c r="J1170" s="35"/>
      <c r="K1170" s="36" t="n">
        <f aca="false">+F1170*J1170</f>
        <v>0</v>
      </c>
      <c r="L1170" s="37" t="n">
        <f aca="false">I1170*K1170</f>
        <v>0</v>
      </c>
    </row>
    <row r="1171" customFormat="false" ht="15" hidden="false" customHeight="false" outlineLevel="0" collapsed="false">
      <c r="A1171" s="32" t="s">
        <v>2265</v>
      </c>
      <c r="B1171" s="32" t="s">
        <v>23</v>
      </c>
      <c r="C1171" s="32" t="s">
        <v>2266</v>
      </c>
      <c r="D1171" s="32" t="s">
        <v>588</v>
      </c>
      <c r="E1171" s="33" t="n">
        <v>8430942326678</v>
      </c>
      <c r="F1171" s="33" t="n">
        <v>1</v>
      </c>
      <c r="G1171" s="34" t="n">
        <v>14.07</v>
      </c>
      <c r="H1171" s="33" t="n">
        <v>69</v>
      </c>
      <c r="I1171" s="34" t="n">
        <f aca="false">G1171*((100-H1171)/100)</f>
        <v>4.3617</v>
      </c>
      <c r="J1171" s="35"/>
      <c r="K1171" s="36" t="n">
        <f aca="false">+F1171*J1171</f>
        <v>0</v>
      </c>
      <c r="L1171" s="37" t="n">
        <f aca="false">I1171*K1171</f>
        <v>0</v>
      </c>
    </row>
    <row r="1172" customFormat="false" ht="15" hidden="false" customHeight="false" outlineLevel="0" collapsed="false">
      <c r="A1172" s="32" t="s">
        <v>2267</v>
      </c>
      <c r="B1172" s="32" t="s">
        <v>23</v>
      </c>
      <c r="C1172" s="32" t="s">
        <v>2268</v>
      </c>
      <c r="D1172" s="32" t="s">
        <v>588</v>
      </c>
      <c r="E1172" s="33" t="n">
        <v>8430942326685</v>
      </c>
      <c r="F1172" s="33" t="n">
        <v>1</v>
      </c>
      <c r="G1172" s="34" t="n">
        <v>19.54</v>
      </c>
      <c r="H1172" s="33" t="n">
        <v>69</v>
      </c>
      <c r="I1172" s="34" t="n">
        <f aca="false">G1172*((100-H1172)/100)</f>
        <v>6.0574</v>
      </c>
      <c r="J1172" s="35"/>
      <c r="K1172" s="36" t="n">
        <f aca="false">+F1172*J1172</f>
        <v>0</v>
      </c>
      <c r="L1172" s="37" t="n">
        <f aca="false">I1172*K1172</f>
        <v>0</v>
      </c>
    </row>
    <row r="1173" customFormat="false" ht="15" hidden="false" customHeight="false" outlineLevel="0" collapsed="false">
      <c r="A1173" s="32" t="s">
        <v>2269</v>
      </c>
      <c r="B1173" s="32" t="s">
        <v>23</v>
      </c>
      <c r="C1173" s="32" t="s">
        <v>2270</v>
      </c>
      <c r="D1173" s="32" t="s">
        <v>588</v>
      </c>
      <c r="E1173" s="33" t="n">
        <v>8430942326708</v>
      </c>
      <c r="F1173" s="33" t="n">
        <v>1</v>
      </c>
      <c r="G1173" s="34" t="n">
        <v>31.28</v>
      </c>
      <c r="H1173" s="33" t="n">
        <v>69</v>
      </c>
      <c r="I1173" s="34" t="n">
        <f aca="false">G1173*((100-H1173)/100)</f>
        <v>9.6968</v>
      </c>
      <c r="J1173" s="35"/>
      <c r="K1173" s="36" t="n">
        <f aca="false">+F1173*J1173</f>
        <v>0</v>
      </c>
      <c r="L1173" s="37" t="n">
        <f aca="false">I1173*K1173</f>
        <v>0</v>
      </c>
    </row>
    <row r="1174" customFormat="false" ht="15" hidden="false" customHeight="false" outlineLevel="0" collapsed="false">
      <c r="A1174" s="32" t="s">
        <v>2271</v>
      </c>
      <c r="B1174" s="32" t="s">
        <v>23</v>
      </c>
      <c r="C1174" s="32" t="s">
        <v>2272</v>
      </c>
      <c r="D1174" s="32" t="s">
        <v>588</v>
      </c>
      <c r="E1174" s="33" t="n">
        <v>8430942326715</v>
      </c>
      <c r="F1174" s="33" t="n">
        <v>1</v>
      </c>
      <c r="G1174" s="34" t="n">
        <v>45.35</v>
      </c>
      <c r="H1174" s="33" t="n">
        <v>69</v>
      </c>
      <c r="I1174" s="34" t="n">
        <f aca="false">G1174*((100-H1174)/100)</f>
        <v>14.0585</v>
      </c>
      <c r="J1174" s="35"/>
      <c r="K1174" s="36" t="n">
        <f aca="false">+F1174*J1174</f>
        <v>0</v>
      </c>
      <c r="L1174" s="37" t="n">
        <f aca="false">I1174*K1174</f>
        <v>0</v>
      </c>
    </row>
    <row r="1175" customFormat="false" ht="15" hidden="false" customHeight="false" outlineLevel="0" collapsed="false">
      <c r="A1175" s="32" t="s">
        <v>2273</v>
      </c>
      <c r="B1175" s="32" t="s">
        <v>23</v>
      </c>
      <c r="C1175" s="32" t="s">
        <v>2274</v>
      </c>
      <c r="D1175" s="32" t="s">
        <v>588</v>
      </c>
      <c r="E1175" s="33" t="n">
        <v>8430942326722</v>
      </c>
      <c r="F1175" s="33" t="n">
        <v>1</v>
      </c>
      <c r="G1175" s="34" t="n">
        <v>54.74</v>
      </c>
      <c r="H1175" s="33" t="n">
        <v>69</v>
      </c>
      <c r="I1175" s="34" t="n">
        <f aca="false">G1175*((100-H1175)/100)</f>
        <v>16.9694</v>
      </c>
      <c r="J1175" s="35"/>
      <c r="K1175" s="36" t="n">
        <f aca="false">+F1175*J1175</f>
        <v>0</v>
      </c>
      <c r="L1175" s="37" t="n">
        <f aca="false">I1175*K1175</f>
        <v>0</v>
      </c>
    </row>
    <row r="1176" customFormat="false" ht="15" hidden="false" customHeight="false" outlineLevel="0" collapsed="false">
      <c r="A1176" s="32" t="s">
        <v>2275</v>
      </c>
      <c r="B1176" s="32" t="s">
        <v>23</v>
      </c>
      <c r="C1176" s="32" t="s">
        <v>2276</v>
      </c>
      <c r="D1176" s="32" t="s">
        <v>588</v>
      </c>
      <c r="E1176" s="33" t="n">
        <v>8430942326739</v>
      </c>
      <c r="F1176" s="33" t="n">
        <v>1</v>
      </c>
      <c r="G1176" s="34" t="n">
        <v>74.28</v>
      </c>
      <c r="H1176" s="33" t="n">
        <v>69</v>
      </c>
      <c r="I1176" s="34" t="n">
        <f aca="false">G1176*((100-H1176)/100)</f>
        <v>23.0268</v>
      </c>
      <c r="J1176" s="35"/>
      <c r="K1176" s="36" t="n">
        <f aca="false">+F1176*J1176</f>
        <v>0</v>
      </c>
      <c r="L1176" s="37" t="n">
        <f aca="false">I1176*K1176</f>
        <v>0</v>
      </c>
    </row>
    <row r="1177" customFormat="false" ht="15" hidden="false" customHeight="false" outlineLevel="0" collapsed="false">
      <c r="A1177" s="32" t="s">
        <v>2277</v>
      </c>
      <c r="B1177" s="32" t="s">
        <v>23</v>
      </c>
      <c r="C1177" s="32" t="s">
        <v>2278</v>
      </c>
      <c r="D1177" s="32" t="s">
        <v>291</v>
      </c>
      <c r="E1177" s="33" t="n">
        <v>8430942013516</v>
      </c>
      <c r="F1177" s="33" t="n">
        <v>1</v>
      </c>
      <c r="G1177" s="34" t="n">
        <v>17.45</v>
      </c>
      <c r="H1177" s="33" t="n">
        <v>69</v>
      </c>
      <c r="I1177" s="34" t="n">
        <f aca="false">G1177*((100-H1177)/100)</f>
        <v>5.4095</v>
      </c>
      <c r="J1177" s="35"/>
      <c r="K1177" s="36" t="n">
        <f aca="false">+F1177*J1177</f>
        <v>0</v>
      </c>
      <c r="L1177" s="37" t="n">
        <f aca="false">I1177*K1177</f>
        <v>0</v>
      </c>
    </row>
    <row r="1178" customFormat="false" ht="15" hidden="false" customHeight="false" outlineLevel="0" collapsed="false">
      <c r="A1178" s="32" t="s">
        <v>2279</v>
      </c>
      <c r="B1178" s="32" t="s">
        <v>23</v>
      </c>
      <c r="C1178" s="32" t="s">
        <v>2280</v>
      </c>
      <c r="D1178" s="32" t="s">
        <v>291</v>
      </c>
      <c r="E1178" s="33" t="n">
        <v>8430942013530</v>
      </c>
      <c r="F1178" s="33" t="n">
        <v>1</v>
      </c>
      <c r="G1178" s="34" t="n">
        <v>17.45</v>
      </c>
      <c r="H1178" s="33" t="n">
        <v>69</v>
      </c>
      <c r="I1178" s="34" t="n">
        <f aca="false">G1178*((100-H1178)/100)</f>
        <v>5.4095</v>
      </c>
      <c r="J1178" s="35"/>
      <c r="K1178" s="36" t="n">
        <f aca="false">+F1178*J1178</f>
        <v>0</v>
      </c>
      <c r="L1178" s="37" t="n">
        <f aca="false">I1178*K1178</f>
        <v>0</v>
      </c>
    </row>
    <row r="1179" customFormat="false" ht="15" hidden="false" customHeight="false" outlineLevel="0" collapsed="false">
      <c r="A1179" s="32" t="s">
        <v>2281</v>
      </c>
      <c r="B1179" s="32" t="s">
        <v>23</v>
      </c>
      <c r="C1179" s="32" t="s">
        <v>2282</v>
      </c>
      <c r="D1179" s="32" t="s">
        <v>291</v>
      </c>
      <c r="E1179" s="33" t="n">
        <v>8430942013554</v>
      </c>
      <c r="F1179" s="33" t="n">
        <v>1</v>
      </c>
      <c r="G1179" s="34" t="n">
        <v>18.2</v>
      </c>
      <c r="H1179" s="33" t="n">
        <v>69</v>
      </c>
      <c r="I1179" s="34" t="n">
        <f aca="false">G1179*((100-H1179)/100)</f>
        <v>5.642</v>
      </c>
      <c r="J1179" s="35"/>
      <c r="K1179" s="36" t="n">
        <f aca="false">+F1179*J1179</f>
        <v>0</v>
      </c>
      <c r="L1179" s="37" t="n">
        <f aca="false">I1179*K1179</f>
        <v>0</v>
      </c>
    </row>
    <row r="1180" customFormat="false" ht="15" hidden="false" customHeight="false" outlineLevel="0" collapsed="false">
      <c r="A1180" s="32" t="s">
        <v>2283</v>
      </c>
      <c r="B1180" s="32" t="s">
        <v>23</v>
      </c>
      <c r="C1180" s="32" t="s">
        <v>2284</v>
      </c>
      <c r="D1180" s="32" t="s">
        <v>291</v>
      </c>
      <c r="E1180" s="33" t="n">
        <v>8430942013585</v>
      </c>
      <c r="F1180" s="33" t="n">
        <v>1</v>
      </c>
      <c r="G1180" s="34" t="n">
        <v>20.15</v>
      </c>
      <c r="H1180" s="33" t="n">
        <v>69</v>
      </c>
      <c r="I1180" s="34" t="n">
        <f aca="false">G1180*((100-H1180)/100)</f>
        <v>6.2465</v>
      </c>
      <c r="J1180" s="35"/>
      <c r="K1180" s="36" t="n">
        <f aca="false">+F1180*J1180</f>
        <v>0</v>
      </c>
      <c r="L1180" s="37" t="n">
        <f aca="false">I1180*K1180</f>
        <v>0</v>
      </c>
    </row>
    <row r="1181" customFormat="false" ht="15" hidden="false" customHeight="false" outlineLevel="0" collapsed="false">
      <c r="A1181" s="32" t="s">
        <v>2285</v>
      </c>
      <c r="B1181" s="32" t="s">
        <v>23</v>
      </c>
      <c r="C1181" s="32" t="s">
        <v>2286</v>
      </c>
      <c r="D1181" s="32" t="s">
        <v>291</v>
      </c>
      <c r="E1181" s="33" t="n">
        <v>8430942013608</v>
      </c>
      <c r="F1181" s="33" t="n">
        <v>1</v>
      </c>
      <c r="G1181" s="34" t="n">
        <v>20.8</v>
      </c>
      <c r="H1181" s="33" t="n">
        <v>69</v>
      </c>
      <c r="I1181" s="34" t="n">
        <f aca="false">G1181*((100-H1181)/100)</f>
        <v>6.448</v>
      </c>
      <c r="J1181" s="35"/>
      <c r="K1181" s="36" t="n">
        <f aca="false">+F1181*J1181</f>
        <v>0</v>
      </c>
      <c r="L1181" s="37" t="n">
        <f aca="false">I1181*K1181</f>
        <v>0</v>
      </c>
    </row>
    <row r="1182" customFormat="false" ht="15" hidden="false" customHeight="false" outlineLevel="0" collapsed="false">
      <c r="A1182" s="32" t="s">
        <v>2287</v>
      </c>
      <c r="B1182" s="32" t="s">
        <v>23</v>
      </c>
      <c r="C1182" s="32" t="s">
        <v>2288</v>
      </c>
      <c r="D1182" s="32" t="s">
        <v>291</v>
      </c>
      <c r="E1182" s="33" t="n">
        <v>8430942013622</v>
      </c>
      <c r="F1182" s="33" t="n">
        <v>1</v>
      </c>
      <c r="G1182" s="34" t="n">
        <v>22.9</v>
      </c>
      <c r="H1182" s="33" t="n">
        <v>69</v>
      </c>
      <c r="I1182" s="34" t="n">
        <f aca="false">G1182*((100-H1182)/100)</f>
        <v>7.099</v>
      </c>
      <c r="J1182" s="35"/>
      <c r="K1182" s="36" t="n">
        <f aca="false">+F1182*J1182</f>
        <v>0</v>
      </c>
      <c r="L1182" s="37" t="n">
        <f aca="false">I1182*K1182</f>
        <v>0</v>
      </c>
    </row>
    <row r="1183" customFormat="false" ht="15" hidden="false" customHeight="false" outlineLevel="0" collapsed="false">
      <c r="A1183" s="32" t="s">
        <v>2289</v>
      </c>
      <c r="B1183" s="32" t="s">
        <v>23</v>
      </c>
      <c r="C1183" s="32" t="s">
        <v>2290</v>
      </c>
      <c r="D1183" s="32" t="s">
        <v>291</v>
      </c>
      <c r="E1183" s="33" t="n">
        <v>8430942013646</v>
      </c>
      <c r="F1183" s="33" t="n">
        <v>1</v>
      </c>
      <c r="G1183" s="34" t="n">
        <v>22.9</v>
      </c>
      <c r="H1183" s="33" t="n">
        <v>69</v>
      </c>
      <c r="I1183" s="34" t="n">
        <f aca="false">G1183*((100-H1183)/100)</f>
        <v>7.099</v>
      </c>
      <c r="J1183" s="35"/>
      <c r="K1183" s="36" t="n">
        <f aca="false">+F1183*J1183</f>
        <v>0</v>
      </c>
      <c r="L1183" s="37" t="n">
        <f aca="false">I1183*K1183</f>
        <v>0</v>
      </c>
    </row>
    <row r="1184" customFormat="false" ht="15" hidden="false" customHeight="false" outlineLevel="0" collapsed="false">
      <c r="A1184" s="32" t="s">
        <v>2291</v>
      </c>
      <c r="B1184" s="32" t="s">
        <v>23</v>
      </c>
      <c r="C1184" s="32" t="s">
        <v>2292</v>
      </c>
      <c r="D1184" s="32" t="s">
        <v>291</v>
      </c>
      <c r="E1184" s="33" t="n">
        <v>8430942013660</v>
      </c>
      <c r="F1184" s="33" t="n">
        <v>1</v>
      </c>
      <c r="G1184" s="34" t="n">
        <v>23.21</v>
      </c>
      <c r="H1184" s="33" t="n">
        <v>69</v>
      </c>
      <c r="I1184" s="34" t="n">
        <f aca="false">G1184*((100-H1184)/100)</f>
        <v>7.1951</v>
      </c>
      <c r="J1184" s="35"/>
      <c r="K1184" s="36" t="n">
        <f aca="false">+F1184*J1184</f>
        <v>0</v>
      </c>
      <c r="L1184" s="37" t="n">
        <f aca="false">I1184*K1184</f>
        <v>0</v>
      </c>
    </row>
    <row r="1185" customFormat="false" ht="15" hidden="false" customHeight="false" outlineLevel="0" collapsed="false">
      <c r="A1185" s="32" t="s">
        <v>2293</v>
      </c>
      <c r="B1185" s="32" t="s">
        <v>23</v>
      </c>
      <c r="C1185" s="32" t="s">
        <v>2294</v>
      </c>
      <c r="D1185" s="32" t="s">
        <v>291</v>
      </c>
      <c r="E1185" s="33" t="n">
        <v>8430942013684</v>
      </c>
      <c r="F1185" s="33" t="n">
        <v>1</v>
      </c>
      <c r="G1185" s="34" t="n">
        <v>24.93</v>
      </c>
      <c r="H1185" s="33" t="n">
        <v>69</v>
      </c>
      <c r="I1185" s="34" t="n">
        <f aca="false">G1185*((100-H1185)/100)</f>
        <v>7.7283</v>
      </c>
      <c r="J1185" s="35"/>
      <c r="K1185" s="36" t="n">
        <f aca="false">+F1185*J1185</f>
        <v>0</v>
      </c>
      <c r="L1185" s="37" t="n">
        <f aca="false">I1185*K1185</f>
        <v>0</v>
      </c>
    </row>
    <row r="1186" customFormat="false" ht="15" hidden="false" customHeight="false" outlineLevel="0" collapsed="false">
      <c r="A1186" s="32" t="s">
        <v>2295</v>
      </c>
      <c r="B1186" s="32" t="s">
        <v>23</v>
      </c>
      <c r="C1186" s="32" t="s">
        <v>2296</v>
      </c>
      <c r="D1186" s="32" t="s">
        <v>291</v>
      </c>
      <c r="E1186" s="33" t="n">
        <v>8430942013745</v>
      </c>
      <c r="F1186" s="33" t="n">
        <v>1</v>
      </c>
      <c r="G1186" s="34" t="n">
        <v>40.48</v>
      </c>
      <c r="H1186" s="33" t="n">
        <v>69</v>
      </c>
      <c r="I1186" s="34" t="n">
        <f aca="false">G1186*((100-H1186)/100)</f>
        <v>12.5488</v>
      </c>
      <c r="J1186" s="35"/>
      <c r="K1186" s="36" t="n">
        <f aca="false">+F1186*J1186</f>
        <v>0</v>
      </c>
      <c r="L1186" s="37" t="n">
        <f aca="false">I1186*K1186</f>
        <v>0</v>
      </c>
    </row>
    <row r="1187" customFormat="false" ht="15" hidden="false" customHeight="false" outlineLevel="0" collapsed="false">
      <c r="A1187" s="32" t="s">
        <v>2297</v>
      </c>
      <c r="B1187" s="32" t="s">
        <v>23</v>
      </c>
      <c r="C1187" s="32" t="s">
        <v>2298</v>
      </c>
      <c r="D1187" s="32" t="s">
        <v>291</v>
      </c>
      <c r="E1187" s="33" t="n">
        <v>8430942013769</v>
      </c>
      <c r="F1187" s="33" t="n">
        <v>1</v>
      </c>
      <c r="G1187" s="34" t="n">
        <v>46.87</v>
      </c>
      <c r="H1187" s="33" t="n">
        <v>69</v>
      </c>
      <c r="I1187" s="34" t="n">
        <f aca="false">G1187*((100-H1187)/100)</f>
        <v>14.5297</v>
      </c>
      <c r="J1187" s="35"/>
      <c r="K1187" s="36" t="n">
        <f aca="false">+F1187*J1187</f>
        <v>0</v>
      </c>
      <c r="L1187" s="37" t="n">
        <f aca="false">I1187*K1187</f>
        <v>0</v>
      </c>
    </row>
    <row r="1188" customFormat="false" ht="15" hidden="false" customHeight="false" outlineLevel="0" collapsed="false">
      <c r="A1188" s="32" t="s">
        <v>2299</v>
      </c>
      <c r="B1188" s="32" t="s">
        <v>23</v>
      </c>
      <c r="C1188" s="32" t="s">
        <v>2300</v>
      </c>
      <c r="D1188" s="32" t="s">
        <v>291</v>
      </c>
      <c r="E1188" s="33" t="n">
        <v>8430942013783</v>
      </c>
      <c r="F1188" s="33" t="n">
        <v>1</v>
      </c>
      <c r="G1188" s="34" t="n">
        <v>46.87</v>
      </c>
      <c r="H1188" s="33" t="n">
        <v>69</v>
      </c>
      <c r="I1188" s="34" t="n">
        <f aca="false">G1188*((100-H1188)/100)</f>
        <v>14.5297</v>
      </c>
      <c r="J1188" s="35"/>
      <c r="K1188" s="36" t="n">
        <f aca="false">+F1188*J1188</f>
        <v>0</v>
      </c>
      <c r="L1188" s="37" t="n">
        <f aca="false">I1188*K1188</f>
        <v>0</v>
      </c>
    </row>
    <row r="1189" customFormat="false" ht="15" hidden="false" customHeight="false" outlineLevel="0" collapsed="false">
      <c r="A1189" s="32" t="s">
        <v>2301</v>
      </c>
      <c r="B1189" s="32" t="s">
        <v>23</v>
      </c>
      <c r="C1189" s="32" t="s">
        <v>2302</v>
      </c>
      <c r="D1189" s="32" t="s">
        <v>291</v>
      </c>
      <c r="E1189" s="33" t="n">
        <v>8430942013837</v>
      </c>
      <c r="F1189" s="33" t="n">
        <v>1</v>
      </c>
      <c r="G1189" s="34" t="n">
        <v>53.65</v>
      </c>
      <c r="H1189" s="33" t="n">
        <v>69</v>
      </c>
      <c r="I1189" s="34" t="n">
        <f aca="false">G1189*((100-H1189)/100)</f>
        <v>16.6315</v>
      </c>
      <c r="J1189" s="35"/>
      <c r="K1189" s="36" t="n">
        <f aca="false">+F1189*J1189</f>
        <v>0</v>
      </c>
      <c r="L1189" s="37" t="n">
        <f aca="false">I1189*K1189</f>
        <v>0</v>
      </c>
    </row>
    <row r="1190" customFormat="false" ht="15" hidden="false" customHeight="false" outlineLevel="0" collapsed="false">
      <c r="A1190" s="32" t="s">
        <v>2303</v>
      </c>
      <c r="B1190" s="32" t="s">
        <v>23</v>
      </c>
      <c r="C1190" s="32" t="s">
        <v>2304</v>
      </c>
      <c r="D1190" s="32" t="s">
        <v>291</v>
      </c>
      <c r="E1190" s="33" t="n">
        <v>8430942013868</v>
      </c>
      <c r="F1190" s="33" t="n">
        <v>1</v>
      </c>
      <c r="G1190" s="34" t="n">
        <v>72.5</v>
      </c>
      <c r="H1190" s="33" t="n">
        <v>69</v>
      </c>
      <c r="I1190" s="34" t="n">
        <f aca="false">G1190*((100-H1190)/100)</f>
        <v>22.475</v>
      </c>
      <c r="J1190" s="35"/>
      <c r="K1190" s="36" t="n">
        <f aca="false">+F1190*J1190</f>
        <v>0</v>
      </c>
      <c r="L1190" s="37" t="n">
        <f aca="false">I1190*K1190</f>
        <v>0</v>
      </c>
    </row>
    <row r="1191" customFormat="false" ht="15" hidden="false" customHeight="false" outlineLevel="0" collapsed="false">
      <c r="A1191" s="32" t="s">
        <v>2305</v>
      </c>
      <c r="B1191" s="32" t="s">
        <v>23</v>
      </c>
      <c r="C1191" s="32" t="s">
        <v>2306</v>
      </c>
      <c r="D1191" s="32" t="s">
        <v>291</v>
      </c>
      <c r="E1191" s="33" t="n">
        <v>8430942013882</v>
      </c>
      <c r="F1191" s="33" t="n">
        <v>1</v>
      </c>
      <c r="G1191" s="34" t="n">
        <v>95.61</v>
      </c>
      <c r="H1191" s="33" t="n">
        <v>69</v>
      </c>
      <c r="I1191" s="34" t="n">
        <f aca="false">G1191*((100-H1191)/100)</f>
        <v>29.6391</v>
      </c>
      <c r="J1191" s="35"/>
      <c r="K1191" s="36" t="n">
        <f aca="false">+F1191*J1191</f>
        <v>0</v>
      </c>
      <c r="L1191" s="37" t="n">
        <f aca="false">I1191*K1191</f>
        <v>0</v>
      </c>
    </row>
    <row r="1192" customFormat="false" ht="15" hidden="false" customHeight="false" outlineLevel="0" collapsed="false">
      <c r="A1192" s="32" t="s">
        <v>2307</v>
      </c>
      <c r="B1192" s="32" t="s">
        <v>23</v>
      </c>
      <c r="C1192" s="32" t="s">
        <v>2308</v>
      </c>
      <c r="D1192" s="32" t="s">
        <v>291</v>
      </c>
      <c r="E1192" s="33" t="n">
        <v>8430942013899</v>
      </c>
      <c r="F1192" s="33" t="n">
        <v>1</v>
      </c>
      <c r="G1192" s="34" t="n">
        <v>106.07</v>
      </c>
      <c r="H1192" s="33" t="n">
        <v>69</v>
      </c>
      <c r="I1192" s="34" t="n">
        <f aca="false">G1192*((100-H1192)/100)</f>
        <v>32.8817</v>
      </c>
      <c r="J1192" s="35"/>
      <c r="K1192" s="36" t="n">
        <f aca="false">+F1192*J1192</f>
        <v>0</v>
      </c>
      <c r="L1192" s="37" t="n">
        <f aca="false">I1192*K1192</f>
        <v>0</v>
      </c>
    </row>
    <row r="1193" customFormat="false" ht="15" hidden="false" customHeight="false" outlineLevel="0" collapsed="false">
      <c r="A1193" s="32" t="s">
        <v>2309</v>
      </c>
      <c r="B1193" s="32" t="s">
        <v>23</v>
      </c>
      <c r="C1193" s="32" t="s">
        <v>2310</v>
      </c>
      <c r="D1193" s="32" t="s">
        <v>291</v>
      </c>
      <c r="E1193" s="33" t="n">
        <v>8430942013905</v>
      </c>
      <c r="F1193" s="33" t="n">
        <v>1</v>
      </c>
      <c r="G1193" s="34" t="n">
        <v>132.58</v>
      </c>
      <c r="H1193" s="33" t="n">
        <v>69</v>
      </c>
      <c r="I1193" s="34" t="n">
        <f aca="false">G1193*((100-H1193)/100)</f>
        <v>41.0998</v>
      </c>
      <c r="J1193" s="35"/>
      <c r="K1193" s="36" t="n">
        <f aca="false">+F1193*J1193</f>
        <v>0</v>
      </c>
      <c r="L1193" s="37" t="n">
        <f aca="false">I1193*K1193</f>
        <v>0</v>
      </c>
    </row>
    <row r="1194" customFormat="false" ht="15" hidden="false" customHeight="false" outlineLevel="0" collapsed="false">
      <c r="A1194" s="32" t="s">
        <v>2311</v>
      </c>
      <c r="B1194" s="32" t="s">
        <v>23</v>
      </c>
      <c r="C1194" s="32" t="s">
        <v>2312</v>
      </c>
      <c r="D1194" s="32" t="s">
        <v>291</v>
      </c>
      <c r="E1194" s="33" t="n">
        <v>8430942013561</v>
      </c>
      <c r="F1194" s="33" t="n">
        <v>1</v>
      </c>
      <c r="G1194" s="34" t="n">
        <v>24.45</v>
      </c>
      <c r="H1194" s="33" t="n">
        <v>69</v>
      </c>
      <c r="I1194" s="34" t="n">
        <f aca="false">G1194*((100-H1194)/100)</f>
        <v>7.5795</v>
      </c>
      <c r="J1194" s="35"/>
      <c r="K1194" s="36" t="n">
        <f aca="false">+F1194*J1194</f>
        <v>0</v>
      </c>
      <c r="L1194" s="37" t="n">
        <f aca="false">I1194*K1194</f>
        <v>0</v>
      </c>
    </row>
    <row r="1195" customFormat="false" ht="15" hidden="false" customHeight="false" outlineLevel="0" collapsed="false">
      <c r="A1195" s="32" t="s">
        <v>2313</v>
      </c>
      <c r="B1195" s="32" t="s">
        <v>23</v>
      </c>
      <c r="C1195" s="32" t="s">
        <v>2314</v>
      </c>
      <c r="D1195" s="32" t="s">
        <v>291</v>
      </c>
      <c r="E1195" s="33" t="n">
        <v>8430942030025</v>
      </c>
      <c r="F1195" s="33" t="n">
        <v>1</v>
      </c>
      <c r="G1195" s="34" t="n">
        <v>26.35</v>
      </c>
      <c r="H1195" s="33" t="n">
        <v>69</v>
      </c>
      <c r="I1195" s="34" t="n">
        <f aca="false">G1195*((100-H1195)/100)</f>
        <v>8.1685</v>
      </c>
      <c r="J1195" s="35"/>
      <c r="K1195" s="36" t="n">
        <f aca="false">+F1195*J1195</f>
        <v>0</v>
      </c>
      <c r="L1195" s="37" t="n">
        <f aca="false">I1195*K1195</f>
        <v>0</v>
      </c>
    </row>
    <row r="1196" customFormat="false" ht="15" hidden="false" customHeight="false" outlineLevel="0" collapsed="false">
      <c r="A1196" s="32" t="s">
        <v>2315</v>
      </c>
      <c r="B1196" s="32" t="s">
        <v>23</v>
      </c>
      <c r="C1196" s="32" t="s">
        <v>2316</v>
      </c>
      <c r="D1196" s="32" t="s">
        <v>291</v>
      </c>
      <c r="E1196" s="33" t="n">
        <v>8430942013615</v>
      </c>
      <c r="F1196" s="33" t="n">
        <v>1</v>
      </c>
      <c r="G1196" s="34" t="n">
        <v>27.85</v>
      </c>
      <c r="H1196" s="33" t="n">
        <v>69</v>
      </c>
      <c r="I1196" s="34" t="n">
        <f aca="false">G1196*((100-H1196)/100)</f>
        <v>8.6335</v>
      </c>
      <c r="J1196" s="35"/>
      <c r="K1196" s="36" t="n">
        <f aca="false">+F1196*J1196</f>
        <v>0</v>
      </c>
      <c r="L1196" s="37" t="n">
        <f aca="false">I1196*K1196</f>
        <v>0</v>
      </c>
    </row>
    <row r="1197" customFormat="false" ht="15" hidden="false" customHeight="false" outlineLevel="0" collapsed="false">
      <c r="A1197" s="32" t="s">
        <v>2317</v>
      </c>
      <c r="B1197" s="32" t="s">
        <v>23</v>
      </c>
      <c r="C1197" s="32" t="s">
        <v>2318</v>
      </c>
      <c r="D1197" s="32" t="s">
        <v>291</v>
      </c>
      <c r="E1197" s="33" t="n">
        <v>8430942013639</v>
      </c>
      <c r="F1197" s="33" t="n">
        <v>1</v>
      </c>
      <c r="G1197" s="34" t="n">
        <v>28.9</v>
      </c>
      <c r="H1197" s="33" t="n">
        <v>69</v>
      </c>
      <c r="I1197" s="34" t="n">
        <f aca="false">G1197*((100-H1197)/100)</f>
        <v>8.959</v>
      </c>
      <c r="J1197" s="35"/>
      <c r="K1197" s="36" t="n">
        <f aca="false">+F1197*J1197</f>
        <v>0</v>
      </c>
      <c r="L1197" s="37" t="n">
        <f aca="false">I1197*K1197</f>
        <v>0</v>
      </c>
    </row>
    <row r="1198" customFormat="false" ht="15" hidden="false" customHeight="false" outlineLevel="0" collapsed="false">
      <c r="A1198" s="32" t="s">
        <v>2319</v>
      </c>
      <c r="B1198" s="32" t="s">
        <v>23</v>
      </c>
      <c r="C1198" s="32" t="s">
        <v>2320</v>
      </c>
      <c r="D1198" s="32" t="s">
        <v>291</v>
      </c>
      <c r="E1198" s="33" t="n">
        <v>8430942013691</v>
      </c>
      <c r="F1198" s="33" t="n">
        <v>1</v>
      </c>
      <c r="G1198" s="34" t="n">
        <v>30.6</v>
      </c>
      <c r="H1198" s="33" t="n">
        <v>69</v>
      </c>
      <c r="I1198" s="34" t="n">
        <f aca="false">G1198*((100-H1198)/100)</f>
        <v>9.486</v>
      </c>
      <c r="J1198" s="35"/>
      <c r="K1198" s="36" t="n">
        <f aca="false">+F1198*J1198</f>
        <v>0</v>
      </c>
      <c r="L1198" s="37" t="n">
        <f aca="false">I1198*K1198</f>
        <v>0</v>
      </c>
    </row>
    <row r="1199" customFormat="false" ht="15" hidden="false" customHeight="false" outlineLevel="0" collapsed="false">
      <c r="A1199" s="32" t="s">
        <v>2321</v>
      </c>
      <c r="B1199" s="32" t="s">
        <v>23</v>
      </c>
      <c r="C1199" s="32" t="s">
        <v>2322</v>
      </c>
      <c r="D1199" s="32" t="s">
        <v>291</v>
      </c>
      <c r="E1199" s="33" t="n">
        <v>8430942013752</v>
      </c>
      <c r="F1199" s="33" t="n">
        <v>1</v>
      </c>
      <c r="G1199" s="34" t="n">
        <v>47.14</v>
      </c>
      <c r="H1199" s="33" t="n">
        <v>69</v>
      </c>
      <c r="I1199" s="34" t="n">
        <f aca="false">G1199*((100-H1199)/100)</f>
        <v>14.6134</v>
      </c>
      <c r="J1199" s="35"/>
      <c r="K1199" s="36" t="n">
        <f aca="false">+F1199*J1199</f>
        <v>0</v>
      </c>
      <c r="L1199" s="37" t="n">
        <f aca="false">I1199*K1199</f>
        <v>0</v>
      </c>
    </row>
    <row r="1200" customFormat="false" ht="15" hidden="false" customHeight="false" outlineLevel="0" collapsed="false">
      <c r="A1200" s="32" t="s">
        <v>2323</v>
      </c>
      <c r="B1200" s="32" t="s">
        <v>23</v>
      </c>
      <c r="C1200" s="32" t="s">
        <v>2324</v>
      </c>
      <c r="D1200" s="32" t="s">
        <v>291</v>
      </c>
      <c r="E1200" s="33" t="n">
        <v>8430942013776</v>
      </c>
      <c r="F1200" s="33" t="n">
        <v>1</v>
      </c>
      <c r="G1200" s="34" t="n">
        <v>54.74</v>
      </c>
      <c r="H1200" s="33" t="n">
        <v>69</v>
      </c>
      <c r="I1200" s="34" t="n">
        <f aca="false">G1200*((100-H1200)/100)</f>
        <v>16.9694</v>
      </c>
      <c r="J1200" s="35"/>
      <c r="K1200" s="36" t="n">
        <f aca="false">+F1200*J1200</f>
        <v>0</v>
      </c>
      <c r="L1200" s="37" t="n">
        <f aca="false">I1200*K1200</f>
        <v>0</v>
      </c>
    </row>
    <row r="1201" customFormat="false" ht="15" hidden="false" customHeight="false" outlineLevel="0" collapsed="false">
      <c r="A1201" s="32" t="s">
        <v>2325</v>
      </c>
      <c r="B1201" s="32" t="s">
        <v>23</v>
      </c>
      <c r="C1201" s="32" t="s">
        <v>2326</v>
      </c>
      <c r="D1201" s="32" t="s">
        <v>291</v>
      </c>
      <c r="E1201" s="33" t="n">
        <v>8430942013790</v>
      </c>
      <c r="F1201" s="33" t="n">
        <v>1</v>
      </c>
      <c r="G1201" s="34" t="n">
        <v>54.74</v>
      </c>
      <c r="H1201" s="33" t="n">
        <v>69</v>
      </c>
      <c r="I1201" s="34" t="n">
        <f aca="false">G1201*((100-H1201)/100)</f>
        <v>16.9694</v>
      </c>
      <c r="J1201" s="35"/>
      <c r="K1201" s="36" t="n">
        <f aca="false">+F1201*J1201</f>
        <v>0</v>
      </c>
      <c r="L1201" s="37" t="n">
        <f aca="false">I1201*K1201</f>
        <v>0</v>
      </c>
    </row>
    <row r="1202" customFormat="false" ht="15" hidden="false" customHeight="false" outlineLevel="0" collapsed="false">
      <c r="A1202" s="32" t="s">
        <v>2327</v>
      </c>
      <c r="B1202" s="32" t="s">
        <v>23</v>
      </c>
      <c r="C1202" s="32" t="s">
        <v>2328</v>
      </c>
      <c r="D1202" s="32" t="s">
        <v>291</v>
      </c>
      <c r="E1202" s="33" t="n">
        <v>8430942013844</v>
      </c>
      <c r="F1202" s="33" t="n">
        <v>1</v>
      </c>
      <c r="G1202" s="34" t="n">
        <v>64.9</v>
      </c>
      <c r="H1202" s="33" t="n">
        <v>69</v>
      </c>
      <c r="I1202" s="34" t="n">
        <f aca="false">G1202*((100-H1202)/100)</f>
        <v>20.119</v>
      </c>
      <c r="J1202" s="35"/>
      <c r="K1202" s="36" t="n">
        <f aca="false">+F1202*J1202</f>
        <v>0</v>
      </c>
      <c r="L1202" s="37" t="n">
        <f aca="false">I1202*K1202</f>
        <v>0</v>
      </c>
    </row>
    <row r="1203" customFormat="false" ht="15" hidden="false" customHeight="false" outlineLevel="0" collapsed="false">
      <c r="A1203" s="32" t="s">
        <v>2329</v>
      </c>
      <c r="B1203" s="32" t="s">
        <v>23</v>
      </c>
      <c r="C1203" s="32" t="s">
        <v>2330</v>
      </c>
      <c r="D1203" s="32" t="s">
        <v>291</v>
      </c>
      <c r="E1203" s="33" t="n">
        <v>8430942013875</v>
      </c>
      <c r="F1203" s="33" t="n">
        <v>1</v>
      </c>
      <c r="G1203" s="34" t="n">
        <v>77.9</v>
      </c>
      <c r="H1203" s="33" t="n">
        <v>69</v>
      </c>
      <c r="I1203" s="34" t="n">
        <f aca="false">G1203*((100-H1203)/100)</f>
        <v>24.149</v>
      </c>
      <c r="J1203" s="35"/>
      <c r="K1203" s="36" t="n">
        <f aca="false">+F1203*J1203</f>
        <v>0</v>
      </c>
      <c r="L1203" s="37" t="n">
        <f aca="false">I1203*K1203</f>
        <v>0</v>
      </c>
    </row>
    <row r="1204" customFormat="false" ht="15" hidden="false" customHeight="false" outlineLevel="0" collapsed="false">
      <c r="A1204" s="32" t="s">
        <v>2331</v>
      </c>
      <c r="B1204" s="32" t="s">
        <v>23</v>
      </c>
      <c r="C1204" s="32" t="s">
        <v>2332</v>
      </c>
      <c r="D1204" s="32" t="s">
        <v>291</v>
      </c>
      <c r="E1204" s="33" t="n">
        <v>8430942030032</v>
      </c>
      <c r="F1204" s="33" t="n">
        <v>1</v>
      </c>
      <c r="G1204" s="34" t="n">
        <v>95.61</v>
      </c>
      <c r="H1204" s="33" t="n">
        <v>69</v>
      </c>
      <c r="I1204" s="34" t="n">
        <f aca="false">G1204*((100-H1204)/100)</f>
        <v>29.6391</v>
      </c>
      <c r="J1204" s="35"/>
      <c r="K1204" s="36" t="n">
        <f aca="false">+F1204*J1204</f>
        <v>0</v>
      </c>
      <c r="L1204" s="37" t="n">
        <f aca="false">I1204*K1204</f>
        <v>0</v>
      </c>
    </row>
    <row r="1205" customFormat="false" ht="15" hidden="false" customHeight="false" outlineLevel="0" collapsed="false">
      <c r="A1205" s="32" t="s">
        <v>2333</v>
      </c>
      <c r="B1205" s="32" t="s">
        <v>23</v>
      </c>
      <c r="C1205" s="32" t="s">
        <v>2334</v>
      </c>
      <c r="D1205" s="32" t="s">
        <v>291</v>
      </c>
      <c r="E1205" s="33" t="n">
        <v>8430942030049</v>
      </c>
      <c r="F1205" s="33" t="n">
        <v>1</v>
      </c>
      <c r="G1205" s="34" t="n">
        <v>106.07</v>
      </c>
      <c r="H1205" s="33" t="n">
        <v>69</v>
      </c>
      <c r="I1205" s="34" t="n">
        <f aca="false">G1205*((100-H1205)/100)</f>
        <v>32.8817</v>
      </c>
      <c r="J1205" s="35"/>
      <c r="K1205" s="36" t="n">
        <f aca="false">+F1205*J1205</f>
        <v>0</v>
      </c>
      <c r="L1205" s="37" t="n">
        <f aca="false">I1205*K1205</f>
        <v>0</v>
      </c>
    </row>
    <row r="1206" customFormat="false" ht="15" hidden="false" customHeight="false" outlineLevel="0" collapsed="false">
      <c r="A1206" s="32" t="s">
        <v>2335</v>
      </c>
      <c r="B1206" s="32" t="s">
        <v>23</v>
      </c>
      <c r="C1206" s="32" t="s">
        <v>2336</v>
      </c>
      <c r="D1206" s="32" t="s">
        <v>291</v>
      </c>
      <c r="E1206" s="33" t="n">
        <v>8430942030056</v>
      </c>
      <c r="F1206" s="33" t="n">
        <v>1</v>
      </c>
      <c r="G1206" s="34" t="n">
        <v>132.58</v>
      </c>
      <c r="H1206" s="33" t="n">
        <v>69</v>
      </c>
      <c r="I1206" s="34" t="n">
        <f aca="false">G1206*((100-H1206)/100)</f>
        <v>41.0998</v>
      </c>
      <c r="J1206" s="35"/>
      <c r="K1206" s="36" t="n">
        <f aca="false">+F1206*J1206</f>
        <v>0</v>
      </c>
      <c r="L1206" s="37" t="n">
        <f aca="false">I1206*K1206</f>
        <v>0</v>
      </c>
    </row>
    <row r="1207" customFormat="false" ht="15" hidden="false" customHeight="false" outlineLevel="0" collapsed="false">
      <c r="A1207" s="32" t="s">
        <v>2337</v>
      </c>
      <c r="B1207" s="32" t="s">
        <v>23</v>
      </c>
      <c r="C1207" s="32" t="s">
        <v>2338</v>
      </c>
      <c r="D1207" s="32" t="s">
        <v>304</v>
      </c>
      <c r="E1207" s="33" t="n">
        <v>8430942033934</v>
      </c>
      <c r="F1207" s="33" t="n">
        <v>1</v>
      </c>
      <c r="G1207" s="34" t="n">
        <v>41.13</v>
      </c>
      <c r="H1207" s="33" t="n">
        <v>69</v>
      </c>
      <c r="I1207" s="34" t="n">
        <f aca="false">G1207*((100-H1207)/100)</f>
        <v>12.7503</v>
      </c>
      <c r="J1207" s="35"/>
      <c r="K1207" s="36" t="n">
        <f aca="false">+F1207*J1207</f>
        <v>0</v>
      </c>
      <c r="L1207" s="37" t="n">
        <f aca="false">I1207*K1207</f>
        <v>0</v>
      </c>
    </row>
    <row r="1208" customFormat="false" ht="15" hidden="false" customHeight="false" outlineLevel="0" collapsed="false">
      <c r="A1208" s="32" t="s">
        <v>2339</v>
      </c>
      <c r="B1208" s="32" t="s">
        <v>23</v>
      </c>
      <c r="C1208" s="32" t="s">
        <v>2340</v>
      </c>
      <c r="D1208" s="32" t="s">
        <v>304</v>
      </c>
      <c r="E1208" s="33" t="n">
        <v>8430942043629</v>
      </c>
      <c r="F1208" s="33" t="n">
        <v>1</v>
      </c>
      <c r="G1208" s="34" t="n">
        <v>41.13</v>
      </c>
      <c r="H1208" s="33" t="n">
        <v>69</v>
      </c>
      <c r="I1208" s="34" t="n">
        <f aca="false">G1208*((100-H1208)/100)</f>
        <v>12.7503</v>
      </c>
      <c r="J1208" s="35"/>
      <c r="K1208" s="36" t="n">
        <f aca="false">+F1208*J1208</f>
        <v>0</v>
      </c>
      <c r="L1208" s="37" t="n">
        <f aca="false">I1208*K1208</f>
        <v>0</v>
      </c>
    </row>
    <row r="1209" customFormat="false" ht="15" hidden="false" customHeight="false" outlineLevel="0" collapsed="false">
      <c r="A1209" s="32" t="s">
        <v>2341</v>
      </c>
      <c r="B1209" s="32" t="s">
        <v>23</v>
      </c>
      <c r="C1209" s="32" t="s">
        <v>2342</v>
      </c>
      <c r="D1209" s="32" t="s">
        <v>304</v>
      </c>
      <c r="E1209" s="33" t="n">
        <v>8430942013936</v>
      </c>
      <c r="F1209" s="33" t="n">
        <v>1</v>
      </c>
      <c r="G1209" s="34" t="n">
        <v>37.02</v>
      </c>
      <c r="H1209" s="33" t="n">
        <v>69</v>
      </c>
      <c r="I1209" s="34" t="n">
        <f aca="false">G1209*((100-H1209)/100)</f>
        <v>11.4762</v>
      </c>
      <c r="J1209" s="35"/>
      <c r="K1209" s="36" t="n">
        <f aca="false">+F1209*J1209</f>
        <v>0</v>
      </c>
      <c r="L1209" s="37" t="n">
        <f aca="false">I1209*K1209</f>
        <v>0</v>
      </c>
    </row>
    <row r="1210" customFormat="false" ht="15" hidden="false" customHeight="false" outlineLevel="0" collapsed="false">
      <c r="A1210" s="32" t="s">
        <v>2343</v>
      </c>
      <c r="B1210" s="32" t="s">
        <v>23</v>
      </c>
      <c r="C1210" s="32" t="s">
        <v>2344</v>
      </c>
      <c r="D1210" s="32" t="s">
        <v>304</v>
      </c>
      <c r="E1210" s="33" t="n">
        <v>8430942013943</v>
      </c>
      <c r="F1210" s="33" t="n">
        <v>1</v>
      </c>
      <c r="G1210" s="34" t="n">
        <v>38.45</v>
      </c>
      <c r="H1210" s="33" t="n">
        <v>69</v>
      </c>
      <c r="I1210" s="34" t="n">
        <f aca="false">G1210*((100-H1210)/100)</f>
        <v>11.9195</v>
      </c>
      <c r="J1210" s="35"/>
      <c r="K1210" s="36" t="n">
        <f aca="false">+F1210*J1210</f>
        <v>0</v>
      </c>
      <c r="L1210" s="37" t="n">
        <f aca="false">I1210*K1210</f>
        <v>0</v>
      </c>
    </row>
    <row r="1211" customFormat="false" ht="15" hidden="false" customHeight="false" outlineLevel="0" collapsed="false">
      <c r="A1211" s="32" t="s">
        <v>2345</v>
      </c>
      <c r="B1211" s="32" t="s">
        <v>23</v>
      </c>
      <c r="C1211" s="32" t="s">
        <v>2346</v>
      </c>
      <c r="D1211" s="32" t="s">
        <v>304</v>
      </c>
      <c r="E1211" s="33" t="n">
        <v>8430942013950</v>
      </c>
      <c r="F1211" s="33" t="n">
        <v>1</v>
      </c>
      <c r="G1211" s="34" t="n">
        <v>38.95</v>
      </c>
      <c r="H1211" s="33" t="n">
        <v>69</v>
      </c>
      <c r="I1211" s="34" t="n">
        <f aca="false">G1211*((100-H1211)/100)</f>
        <v>12.0745</v>
      </c>
      <c r="J1211" s="35"/>
      <c r="K1211" s="36" t="n">
        <f aca="false">+F1211*J1211</f>
        <v>0</v>
      </c>
      <c r="L1211" s="37" t="n">
        <f aca="false">I1211*K1211</f>
        <v>0</v>
      </c>
    </row>
    <row r="1212" customFormat="false" ht="15" hidden="false" customHeight="false" outlineLevel="0" collapsed="false">
      <c r="A1212" s="32" t="s">
        <v>2347</v>
      </c>
      <c r="B1212" s="32" t="s">
        <v>23</v>
      </c>
      <c r="C1212" s="32" t="s">
        <v>2348</v>
      </c>
      <c r="D1212" s="32" t="s">
        <v>304</v>
      </c>
      <c r="E1212" s="33" t="n">
        <v>8430942013967</v>
      </c>
      <c r="F1212" s="33" t="n">
        <v>1</v>
      </c>
      <c r="G1212" s="34" t="n">
        <v>43.99</v>
      </c>
      <c r="H1212" s="33" t="n">
        <v>69</v>
      </c>
      <c r="I1212" s="34" t="n">
        <f aca="false">G1212*((100-H1212)/100)</f>
        <v>13.6369</v>
      </c>
      <c r="J1212" s="35"/>
      <c r="K1212" s="36" t="n">
        <f aca="false">+F1212*J1212</f>
        <v>0</v>
      </c>
      <c r="L1212" s="37" t="n">
        <f aca="false">I1212*K1212</f>
        <v>0</v>
      </c>
    </row>
    <row r="1213" customFormat="false" ht="15" hidden="false" customHeight="false" outlineLevel="0" collapsed="false">
      <c r="A1213" s="32" t="s">
        <v>2349</v>
      </c>
      <c r="B1213" s="32" t="s">
        <v>23</v>
      </c>
      <c r="C1213" s="32" t="s">
        <v>2350</v>
      </c>
      <c r="D1213" s="32" t="s">
        <v>304</v>
      </c>
      <c r="E1213" s="33" t="n">
        <v>8430942013974</v>
      </c>
      <c r="F1213" s="33" t="n">
        <v>1</v>
      </c>
      <c r="G1213" s="34" t="n">
        <v>47.73</v>
      </c>
      <c r="H1213" s="33" t="n">
        <v>69</v>
      </c>
      <c r="I1213" s="34" t="n">
        <f aca="false">G1213*((100-H1213)/100)</f>
        <v>14.7963</v>
      </c>
      <c r="J1213" s="35"/>
      <c r="K1213" s="36" t="n">
        <f aca="false">+F1213*J1213</f>
        <v>0</v>
      </c>
      <c r="L1213" s="37" t="n">
        <f aca="false">I1213*K1213</f>
        <v>0</v>
      </c>
    </row>
    <row r="1214" customFormat="false" ht="15" hidden="false" customHeight="false" outlineLevel="0" collapsed="false">
      <c r="A1214" s="32" t="s">
        <v>2351</v>
      </c>
      <c r="B1214" s="32" t="s">
        <v>23</v>
      </c>
      <c r="C1214" s="32" t="s">
        <v>2352</v>
      </c>
      <c r="D1214" s="32" t="s">
        <v>304</v>
      </c>
      <c r="E1214" s="33" t="n">
        <v>8430942013981</v>
      </c>
      <c r="F1214" s="33" t="n">
        <v>1</v>
      </c>
      <c r="G1214" s="34" t="n">
        <v>47.73</v>
      </c>
      <c r="H1214" s="33" t="n">
        <v>69</v>
      </c>
      <c r="I1214" s="34" t="n">
        <f aca="false">G1214*((100-H1214)/100)</f>
        <v>14.7963</v>
      </c>
      <c r="J1214" s="35"/>
      <c r="K1214" s="36" t="n">
        <f aca="false">+F1214*J1214</f>
        <v>0</v>
      </c>
      <c r="L1214" s="37" t="n">
        <f aca="false">I1214*K1214</f>
        <v>0</v>
      </c>
    </row>
    <row r="1215" customFormat="false" ht="15" hidden="false" customHeight="false" outlineLevel="0" collapsed="false">
      <c r="A1215" s="32" t="s">
        <v>2353</v>
      </c>
      <c r="B1215" s="32" t="s">
        <v>23</v>
      </c>
      <c r="C1215" s="32" t="s">
        <v>2354</v>
      </c>
      <c r="D1215" s="32" t="s">
        <v>304</v>
      </c>
      <c r="E1215" s="33" t="n">
        <v>8430942013998</v>
      </c>
      <c r="F1215" s="33" t="n">
        <v>1</v>
      </c>
      <c r="G1215" s="34" t="n">
        <v>47.25</v>
      </c>
      <c r="H1215" s="33" t="n">
        <v>69</v>
      </c>
      <c r="I1215" s="34" t="n">
        <f aca="false">G1215*((100-H1215)/100)</f>
        <v>14.6475</v>
      </c>
      <c r="J1215" s="35"/>
      <c r="K1215" s="36" t="n">
        <f aca="false">+F1215*J1215</f>
        <v>0</v>
      </c>
      <c r="L1215" s="37" t="n">
        <f aca="false">I1215*K1215</f>
        <v>0</v>
      </c>
    </row>
    <row r="1216" customFormat="false" ht="15" hidden="false" customHeight="false" outlineLevel="0" collapsed="false">
      <c r="A1216" s="32" t="s">
        <v>2355</v>
      </c>
      <c r="B1216" s="32" t="s">
        <v>23</v>
      </c>
      <c r="C1216" s="32" t="s">
        <v>2356</v>
      </c>
      <c r="D1216" s="32" t="s">
        <v>304</v>
      </c>
      <c r="E1216" s="33" t="n">
        <v>8430942014025</v>
      </c>
      <c r="F1216" s="33" t="n">
        <v>1</v>
      </c>
      <c r="G1216" s="34" t="n">
        <v>54.95</v>
      </c>
      <c r="H1216" s="33" t="n">
        <v>69</v>
      </c>
      <c r="I1216" s="34" t="n">
        <f aca="false">G1216*((100-H1216)/100)</f>
        <v>17.0345</v>
      </c>
      <c r="J1216" s="35"/>
      <c r="K1216" s="36" t="n">
        <f aca="false">+F1216*J1216</f>
        <v>0</v>
      </c>
      <c r="L1216" s="37" t="n">
        <f aca="false">I1216*K1216</f>
        <v>0</v>
      </c>
    </row>
    <row r="1217" customFormat="false" ht="15" hidden="false" customHeight="false" outlineLevel="0" collapsed="false">
      <c r="A1217" s="32" t="s">
        <v>2357</v>
      </c>
      <c r="B1217" s="32" t="s">
        <v>23</v>
      </c>
      <c r="C1217" s="32" t="s">
        <v>2358</v>
      </c>
      <c r="D1217" s="32" t="s">
        <v>304</v>
      </c>
      <c r="E1217" s="33" t="n">
        <v>8430942014032</v>
      </c>
      <c r="F1217" s="33" t="n">
        <v>1</v>
      </c>
      <c r="G1217" s="34" t="n">
        <v>57.13</v>
      </c>
      <c r="H1217" s="33" t="n">
        <v>69</v>
      </c>
      <c r="I1217" s="34" t="n">
        <f aca="false">G1217*((100-H1217)/100)</f>
        <v>17.7103</v>
      </c>
      <c r="J1217" s="35"/>
      <c r="K1217" s="36" t="n">
        <f aca="false">+F1217*J1217</f>
        <v>0</v>
      </c>
      <c r="L1217" s="37" t="n">
        <f aca="false">I1217*K1217</f>
        <v>0</v>
      </c>
    </row>
    <row r="1218" customFormat="false" ht="15" hidden="false" customHeight="false" outlineLevel="0" collapsed="false">
      <c r="A1218" s="32" t="s">
        <v>2359</v>
      </c>
      <c r="B1218" s="32" t="s">
        <v>23</v>
      </c>
      <c r="C1218" s="32" t="s">
        <v>2360</v>
      </c>
      <c r="D1218" s="32" t="s">
        <v>304</v>
      </c>
      <c r="E1218" s="33" t="n">
        <v>8430942014049</v>
      </c>
      <c r="F1218" s="33" t="n">
        <v>1</v>
      </c>
      <c r="G1218" s="34" t="n">
        <v>60.82</v>
      </c>
      <c r="H1218" s="33" t="n">
        <v>69</v>
      </c>
      <c r="I1218" s="34" t="n">
        <f aca="false">G1218*((100-H1218)/100)</f>
        <v>18.8542</v>
      </c>
      <c r="J1218" s="35"/>
      <c r="K1218" s="36" t="n">
        <f aca="false">+F1218*J1218</f>
        <v>0</v>
      </c>
      <c r="L1218" s="37" t="n">
        <f aca="false">I1218*K1218</f>
        <v>0</v>
      </c>
    </row>
    <row r="1219" customFormat="false" ht="15" hidden="false" customHeight="false" outlineLevel="0" collapsed="false">
      <c r="A1219" s="32" t="s">
        <v>2361</v>
      </c>
      <c r="B1219" s="32" t="s">
        <v>23</v>
      </c>
      <c r="C1219" s="32" t="s">
        <v>2362</v>
      </c>
      <c r="D1219" s="32" t="s">
        <v>304</v>
      </c>
      <c r="E1219" s="33" t="n">
        <v>8430942014063</v>
      </c>
      <c r="F1219" s="33" t="n">
        <v>1</v>
      </c>
      <c r="G1219" s="34" t="n">
        <v>75.42</v>
      </c>
      <c r="H1219" s="33" t="n">
        <v>69</v>
      </c>
      <c r="I1219" s="34" t="n">
        <f aca="false">G1219*((100-H1219)/100)</f>
        <v>23.3802</v>
      </c>
      <c r="J1219" s="35"/>
      <c r="K1219" s="36" t="n">
        <f aca="false">+F1219*J1219</f>
        <v>0</v>
      </c>
      <c r="L1219" s="37" t="n">
        <f aca="false">I1219*K1219</f>
        <v>0</v>
      </c>
    </row>
    <row r="1220" customFormat="false" ht="15" hidden="false" customHeight="false" outlineLevel="0" collapsed="false">
      <c r="A1220" s="32" t="s">
        <v>2363</v>
      </c>
      <c r="B1220" s="32" t="s">
        <v>23</v>
      </c>
      <c r="C1220" s="32" t="s">
        <v>2364</v>
      </c>
      <c r="D1220" s="32" t="s">
        <v>304</v>
      </c>
      <c r="E1220" s="33" t="n">
        <v>8430942014070</v>
      </c>
      <c r="F1220" s="33" t="n">
        <v>1</v>
      </c>
      <c r="G1220" s="34" t="n">
        <v>87.83</v>
      </c>
      <c r="H1220" s="33" t="n">
        <v>69</v>
      </c>
      <c r="I1220" s="34" t="n">
        <f aca="false">G1220*((100-H1220)/100)</f>
        <v>27.2273</v>
      </c>
      <c r="J1220" s="35"/>
      <c r="K1220" s="36" t="n">
        <f aca="false">+F1220*J1220</f>
        <v>0</v>
      </c>
      <c r="L1220" s="37" t="n">
        <f aca="false">I1220*K1220</f>
        <v>0</v>
      </c>
    </row>
    <row r="1221" customFormat="false" ht="15" hidden="false" customHeight="false" outlineLevel="0" collapsed="false">
      <c r="A1221" s="32" t="s">
        <v>2365</v>
      </c>
      <c r="B1221" s="32" t="s">
        <v>23</v>
      </c>
      <c r="C1221" s="32" t="s">
        <v>2366</v>
      </c>
      <c r="D1221" s="32" t="s">
        <v>304</v>
      </c>
      <c r="E1221" s="33" t="n">
        <v>8430942014087</v>
      </c>
      <c r="F1221" s="33" t="n">
        <v>1</v>
      </c>
      <c r="G1221" s="34" t="n">
        <v>124.07</v>
      </c>
      <c r="H1221" s="33" t="n">
        <v>69</v>
      </c>
      <c r="I1221" s="34" t="n">
        <f aca="false">G1221*((100-H1221)/100)</f>
        <v>38.4617</v>
      </c>
      <c r="J1221" s="35"/>
      <c r="K1221" s="36" t="n">
        <f aca="false">+F1221*J1221</f>
        <v>0</v>
      </c>
      <c r="L1221" s="37" t="n">
        <f aca="false">I1221*K1221</f>
        <v>0</v>
      </c>
    </row>
    <row r="1222" customFormat="false" ht="15" hidden="false" customHeight="false" outlineLevel="0" collapsed="false">
      <c r="A1222" s="32" t="s">
        <v>2367</v>
      </c>
      <c r="B1222" s="32" t="s">
        <v>23</v>
      </c>
      <c r="C1222" s="32" t="s">
        <v>2368</v>
      </c>
      <c r="D1222" s="32" t="s">
        <v>304</v>
      </c>
      <c r="E1222" s="33" t="n">
        <v>8430942029401</v>
      </c>
      <c r="F1222" s="33" t="n">
        <v>1</v>
      </c>
      <c r="G1222" s="34" t="n">
        <v>141.55</v>
      </c>
      <c r="H1222" s="33" t="n">
        <v>69</v>
      </c>
      <c r="I1222" s="34" t="n">
        <f aca="false">G1222*((100-H1222)/100)</f>
        <v>43.8805</v>
      </c>
      <c r="J1222" s="35"/>
      <c r="K1222" s="36" t="n">
        <f aca="false">+F1222*J1222</f>
        <v>0</v>
      </c>
      <c r="L1222" s="37" t="n">
        <f aca="false">I1222*K1222</f>
        <v>0</v>
      </c>
    </row>
    <row r="1223" customFormat="false" ht="15" hidden="false" customHeight="false" outlineLevel="0" collapsed="false">
      <c r="A1223" s="32" t="s">
        <v>2369</v>
      </c>
      <c r="B1223" s="32" t="s">
        <v>23</v>
      </c>
      <c r="C1223" s="32" t="s">
        <v>2370</v>
      </c>
      <c r="D1223" s="32" t="s">
        <v>304</v>
      </c>
      <c r="E1223" s="33" t="n">
        <v>8430942017200</v>
      </c>
      <c r="F1223" s="33" t="n">
        <v>1</v>
      </c>
      <c r="G1223" s="34" t="n">
        <v>174.91</v>
      </c>
      <c r="H1223" s="33" t="n">
        <v>69</v>
      </c>
      <c r="I1223" s="34" t="n">
        <f aca="false">G1223*((100-H1223)/100)</f>
        <v>54.2221</v>
      </c>
      <c r="J1223" s="35"/>
      <c r="K1223" s="36" t="n">
        <f aca="false">+F1223*J1223</f>
        <v>0</v>
      </c>
      <c r="L1223" s="37" t="n">
        <f aca="false">I1223*K1223</f>
        <v>0</v>
      </c>
    </row>
    <row r="1224" customFormat="false" ht="15" hidden="false" customHeight="false" outlineLevel="0" collapsed="false">
      <c r="A1224" s="32" t="s">
        <v>2371</v>
      </c>
      <c r="B1224" s="32" t="s">
        <v>23</v>
      </c>
      <c r="C1224" s="32" t="s">
        <v>2372</v>
      </c>
      <c r="D1224" s="32" t="s">
        <v>304</v>
      </c>
      <c r="E1224" s="33" t="n">
        <v>8430942018573</v>
      </c>
      <c r="F1224" s="33" t="n">
        <v>1</v>
      </c>
      <c r="G1224" s="34" t="n">
        <v>53.28</v>
      </c>
      <c r="H1224" s="33" t="n">
        <v>69</v>
      </c>
      <c r="I1224" s="34" t="n">
        <f aca="false">G1224*((100-H1224)/100)</f>
        <v>16.5168</v>
      </c>
      <c r="J1224" s="35"/>
      <c r="K1224" s="36" t="n">
        <f aca="false">+F1224*J1224</f>
        <v>0</v>
      </c>
      <c r="L1224" s="37" t="n">
        <f aca="false">I1224*K1224</f>
        <v>0</v>
      </c>
    </row>
    <row r="1225" customFormat="false" ht="15" hidden="false" customHeight="false" outlineLevel="0" collapsed="false">
      <c r="A1225" s="32" t="s">
        <v>2373</v>
      </c>
      <c r="B1225" s="32" t="s">
        <v>23</v>
      </c>
      <c r="C1225" s="32" t="s">
        <v>2374</v>
      </c>
      <c r="D1225" s="32" t="s">
        <v>304</v>
      </c>
      <c r="E1225" s="33" t="n">
        <v>8430942023522</v>
      </c>
      <c r="F1225" s="33" t="n">
        <v>1</v>
      </c>
      <c r="G1225" s="34" t="n">
        <v>53.28</v>
      </c>
      <c r="H1225" s="33" t="n">
        <v>69</v>
      </c>
      <c r="I1225" s="34" t="n">
        <f aca="false">G1225*((100-H1225)/100)</f>
        <v>16.5168</v>
      </c>
      <c r="J1225" s="35"/>
      <c r="K1225" s="36" t="n">
        <f aca="false">+F1225*J1225</f>
        <v>0</v>
      </c>
      <c r="L1225" s="37" t="n">
        <f aca="false">I1225*K1225</f>
        <v>0</v>
      </c>
    </row>
    <row r="1226" customFormat="false" ht="15" hidden="false" customHeight="false" outlineLevel="0" collapsed="false">
      <c r="A1226" s="32" t="s">
        <v>2375</v>
      </c>
      <c r="B1226" s="32" t="s">
        <v>23</v>
      </c>
      <c r="C1226" s="32" t="s">
        <v>2376</v>
      </c>
      <c r="D1226" s="32" t="s">
        <v>304</v>
      </c>
      <c r="E1226" s="33" t="n">
        <v>8430942018580</v>
      </c>
      <c r="F1226" s="33" t="n">
        <v>1</v>
      </c>
      <c r="G1226" s="34" t="n">
        <v>53.28</v>
      </c>
      <c r="H1226" s="33" t="n">
        <v>69</v>
      </c>
      <c r="I1226" s="34" t="n">
        <f aca="false">G1226*((100-H1226)/100)</f>
        <v>16.5168</v>
      </c>
      <c r="J1226" s="35"/>
      <c r="K1226" s="36" t="n">
        <f aca="false">+F1226*J1226</f>
        <v>0</v>
      </c>
      <c r="L1226" s="37" t="n">
        <f aca="false">I1226*K1226</f>
        <v>0</v>
      </c>
    </row>
    <row r="1227" customFormat="false" ht="15" hidden="false" customHeight="false" outlineLevel="0" collapsed="false">
      <c r="A1227" s="32" t="s">
        <v>2377</v>
      </c>
      <c r="B1227" s="32" t="s">
        <v>23</v>
      </c>
      <c r="C1227" s="32" t="s">
        <v>2378</v>
      </c>
      <c r="D1227" s="32" t="s">
        <v>304</v>
      </c>
      <c r="E1227" s="33" t="n">
        <v>8430942018016</v>
      </c>
      <c r="F1227" s="33" t="n">
        <v>1</v>
      </c>
      <c r="G1227" s="34" t="n">
        <v>53.28</v>
      </c>
      <c r="H1227" s="33" t="n">
        <v>69</v>
      </c>
      <c r="I1227" s="34" t="n">
        <f aca="false">G1227*((100-H1227)/100)</f>
        <v>16.5168</v>
      </c>
      <c r="J1227" s="35"/>
      <c r="K1227" s="36" t="n">
        <f aca="false">+F1227*J1227</f>
        <v>0</v>
      </c>
      <c r="L1227" s="37" t="n">
        <f aca="false">I1227*K1227</f>
        <v>0</v>
      </c>
    </row>
    <row r="1228" customFormat="false" ht="15" hidden="false" customHeight="false" outlineLevel="0" collapsed="false">
      <c r="A1228" s="32" t="s">
        <v>2379</v>
      </c>
      <c r="B1228" s="32" t="s">
        <v>23</v>
      </c>
      <c r="C1228" s="32" t="s">
        <v>2380</v>
      </c>
      <c r="D1228" s="32" t="s">
        <v>304</v>
      </c>
      <c r="E1228" s="33" t="n">
        <v>8430942014100</v>
      </c>
      <c r="F1228" s="33" t="n">
        <v>1</v>
      </c>
      <c r="G1228" s="34" t="n">
        <v>60.09</v>
      </c>
      <c r="H1228" s="33" t="n">
        <v>69</v>
      </c>
      <c r="I1228" s="34" t="n">
        <f aca="false">G1228*((100-H1228)/100)</f>
        <v>18.6279</v>
      </c>
      <c r="J1228" s="35"/>
      <c r="K1228" s="36" t="n">
        <f aca="false">+F1228*J1228</f>
        <v>0</v>
      </c>
      <c r="L1228" s="37" t="n">
        <f aca="false">I1228*K1228</f>
        <v>0</v>
      </c>
    </row>
    <row r="1229" customFormat="false" ht="15" hidden="false" customHeight="false" outlineLevel="0" collapsed="false">
      <c r="A1229" s="32" t="s">
        <v>2381</v>
      </c>
      <c r="B1229" s="32" t="s">
        <v>23</v>
      </c>
      <c r="C1229" s="32" t="s">
        <v>2382</v>
      </c>
      <c r="D1229" s="32" t="s">
        <v>304</v>
      </c>
      <c r="E1229" s="33" t="n">
        <v>8430942016944</v>
      </c>
      <c r="F1229" s="33" t="n">
        <v>1</v>
      </c>
      <c r="G1229" s="34" t="n">
        <v>68.6</v>
      </c>
      <c r="H1229" s="33" t="n">
        <v>69</v>
      </c>
      <c r="I1229" s="34" t="n">
        <f aca="false">G1229*((100-H1229)/100)</f>
        <v>21.266</v>
      </c>
      <c r="J1229" s="35"/>
      <c r="K1229" s="36" t="n">
        <f aca="false">+F1229*J1229</f>
        <v>0</v>
      </c>
      <c r="L1229" s="37" t="n">
        <f aca="false">I1229*K1229</f>
        <v>0</v>
      </c>
    </row>
    <row r="1230" customFormat="false" ht="15" hidden="false" customHeight="false" outlineLevel="0" collapsed="false">
      <c r="A1230" s="32" t="s">
        <v>2383</v>
      </c>
      <c r="B1230" s="32" t="s">
        <v>23</v>
      </c>
      <c r="C1230" s="32" t="s">
        <v>2384</v>
      </c>
      <c r="D1230" s="32" t="s">
        <v>304</v>
      </c>
      <c r="E1230" s="33" t="n">
        <v>8430942022655</v>
      </c>
      <c r="F1230" s="33" t="n">
        <v>1</v>
      </c>
      <c r="G1230" s="34" t="n">
        <v>73.46</v>
      </c>
      <c r="H1230" s="33" t="n">
        <v>69</v>
      </c>
      <c r="I1230" s="34" t="n">
        <f aca="false">G1230*((100-H1230)/100)</f>
        <v>22.7726</v>
      </c>
      <c r="J1230" s="35"/>
      <c r="K1230" s="36" t="n">
        <f aca="false">+F1230*J1230</f>
        <v>0</v>
      </c>
      <c r="L1230" s="37" t="n">
        <f aca="false">I1230*K1230</f>
        <v>0</v>
      </c>
    </row>
    <row r="1231" customFormat="false" ht="15" hidden="false" customHeight="false" outlineLevel="0" collapsed="false">
      <c r="A1231" s="32" t="s">
        <v>2385</v>
      </c>
      <c r="B1231" s="32" t="s">
        <v>23</v>
      </c>
      <c r="C1231" s="32" t="s">
        <v>2386</v>
      </c>
      <c r="D1231" s="32" t="s">
        <v>304</v>
      </c>
      <c r="E1231" s="33" t="n">
        <v>8430942014117</v>
      </c>
      <c r="F1231" s="33" t="n">
        <v>1</v>
      </c>
      <c r="G1231" s="34" t="n">
        <v>75.65</v>
      </c>
      <c r="H1231" s="33" t="n">
        <v>69</v>
      </c>
      <c r="I1231" s="34" t="n">
        <f aca="false">G1231*((100-H1231)/100)</f>
        <v>23.4515</v>
      </c>
      <c r="J1231" s="35"/>
      <c r="K1231" s="36" t="n">
        <f aca="false">+F1231*J1231</f>
        <v>0</v>
      </c>
      <c r="L1231" s="37" t="n">
        <f aca="false">I1231*K1231</f>
        <v>0</v>
      </c>
    </row>
    <row r="1232" customFormat="false" ht="15" hidden="false" customHeight="false" outlineLevel="0" collapsed="false">
      <c r="A1232" s="32" t="s">
        <v>2387</v>
      </c>
      <c r="B1232" s="32" t="s">
        <v>23</v>
      </c>
      <c r="C1232" s="32" t="s">
        <v>2388</v>
      </c>
      <c r="D1232" s="32" t="s">
        <v>304</v>
      </c>
      <c r="E1232" s="33" t="n">
        <v>8430942014124</v>
      </c>
      <c r="F1232" s="33" t="n">
        <v>1</v>
      </c>
      <c r="G1232" s="34" t="n">
        <v>90.25</v>
      </c>
      <c r="H1232" s="33" t="n">
        <v>69</v>
      </c>
      <c r="I1232" s="34" t="n">
        <f aca="false">G1232*((100-H1232)/100)</f>
        <v>27.9775</v>
      </c>
      <c r="J1232" s="35"/>
      <c r="K1232" s="36" t="n">
        <f aca="false">+F1232*J1232</f>
        <v>0</v>
      </c>
      <c r="L1232" s="37" t="n">
        <f aca="false">I1232*K1232</f>
        <v>0</v>
      </c>
    </row>
    <row r="1233" customFormat="false" ht="15" hidden="false" customHeight="false" outlineLevel="0" collapsed="false">
      <c r="A1233" s="32" t="s">
        <v>2389</v>
      </c>
      <c r="B1233" s="32" t="s">
        <v>23</v>
      </c>
      <c r="C1233" s="32" t="s">
        <v>2390</v>
      </c>
      <c r="D1233" s="32" t="s">
        <v>304</v>
      </c>
      <c r="E1233" s="33" t="n">
        <v>8430942014131</v>
      </c>
      <c r="F1233" s="33" t="n">
        <v>1</v>
      </c>
      <c r="G1233" s="34" t="n">
        <v>106.3</v>
      </c>
      <c r="H1233" s="33" t="n">
        <v>69</v>
      </c>
      <c r="I1233" s="34" t="n">
        <f aca="false">G1233*((100-H1233)/100)</f>
        <v>32.953</v>
      </c>
      <c r="J1233" s="35"/>
      <c r="K1233" s="36" t="n">
        <f aca="false">+F1233*J1233</f>
        <v>0</v>
      </c>
      <c r="L1233" s="37" t="n">
        <f aca="false">I1233*K1233</f>
        <v>0</v>
      </c>
    </row>
    <row r="1234" customFormat="false" ht="15" hidden="false" customHeight="false" outlineLevel="0" collapsed="false">
      <c r="A1234" s="32" t="s">
        <v>2391</v>
      </c>
      <c r="B1234" s="32" t="s">
        <v>23</v>
      </c>
      <c r="C1234" s="32" t="s">
        <v>2392</v>
      </c>
      <c r="D1234" s="32" t="s">
        <v>304</v>
      </c>
      <c r="E1234" s="33" t="n">
        <v>8430942022488</v>
      </c>
      <c r="F1234" s="33" t="n">
        <v>1</v>
      </c>
      <c r="G1234" s="34" t="n">
        <v>124.07</v>
      </c>
      <c r="H1234" s="33" t="n">
        <v>69</v>
      </c>
      <c r="I1234" s="34" t="n">
        <f aca="false">G1234*((100-H1234)/100)</f>
        <v>38.4617</v>
      </c>
      <c r="J1234" s="35"/>
      <c r="K1234" s="36" t="n">
        <f aca="false">+F1234*J1234</f>
        <v>0</v>
      </c>
      <c r="L1234" s="37" t="n">
        <f aca="false">I1234*K1234</f>
        <v>0</v>
      </c>
    </row>
    <row r="1235" customFormat="false" ht="15" hidden="false" customHeight="false" outlineLevel="0" collapsed="false">
      <c r="A1235" s="32" t="s">
        <v>2393</v>
      </c>
      <c r="B1235" s="32" t="s">
        <v>23</v>
      </c>
      <c r="C1235" s="32" t="s">
        <v>2394</v>
      </c>
      <c r="D1235" s="32" t="s">
        <v>304</v>
      </c>
      <c r="E1235" s="33" t="n">
        <v>8430942010720</v>
      </c>
      <c r="F1235" s="33" t="n">
        <v>1</v>
      </c>
      <c r="G1235" s="34" t="n">
        <v>141.55</v>
      </c>
      <c r="H1235" s="33" t="n">
        <v>69</v>
      </c>
      <c r="I1235" s="34" t="n">
        <f aca="false">G1235*((100-H1235)/100)</f>
        <v>43.8805</v>
      </c>
      <c r="J1235" s="35"/>
      <c r="K1235" s="36" t="n">
        <f aca="false">+F1235*J1235</f>
        <v>0</v>
      </c>
      <c r="L1235" s="37" t="n">
        <f aca="false">I1235*K1235</f>
        <v>0</v>
      </c>
    </row>
    <row r="1236" customFormat="false" ht="15" hidden="false" customHeight="false" outlineLevel="0" collapsed="false">
      <c r="A1236" s="32" t="s">
        <v>2395</v>
      </c>
      <c r="B1236" s="32" t="s">
        <v>23</v>
      </c>
      <c r="C1236" s="32" t="s">
        <v>2396</v>
      </c>
      <c r="D1236" s="32" t="s">
        <v>304</v>
      </c>
      <c r="E1236" s="33" t="n">
        <v>8430942029418</v>
      </c>
      <c r="F1236" s="33" t="n">
        <v>1</v>
      </c>
      <c r="G1236" s="34" t="n">
        <v>174.91</v>
      </c>
      <c r="H1236" s="33" t="n">
        <v>69</v>
      </c>
      <c r="I1236" s="34" t="n">
        <f aca="false">G1236*((100-H1236)/100)</f>
        <v>54.2221</v>
      </c>
      <c r="J1236" s="35"/>
      <c r="K1236" s="36" t="n">
        <f aca="false">+F1236*J1236</f>
        <v>0</v>
      </c>
      <c r="L1236" s="37" t="n">
        <f aca="false">I1236*K1236</f>
        <v>0</v>
      </c>
    </row>
    <row r="1237" customFormat="false" ht="15" hidden="false" customHeight="false" outlineLevel="0" collapsed="false">
      <c r="A1237" s="32" t="s">
        <v>2397</v>
      </c>
      <c r="B1237" s="32" t="s">
        <v>23</v>
      </c>
      <c r="C1237" s="32" t="s">
        <v>2398</v>
      </c>
      <c r="D1237" s="32" t="s">
        <v>2399</v>
      </c>
      <c r="E1237" s="33" t="n">
        <v>8430942329570</v>
      </c>
      <c r="F1237" s="33" t="n">
        <v>1</v>
      </c>
      <c r="G1237" s="34" t="n">
        <v>47.47</v>
      </c>
      <c r="H1237" s="33" t="n">
        <v>69</v>
      </c>
      <c r="I1237" s="34" t="n">
        <f aca="false">G1237*((100-H1237)/100)</f>
        <v>14.7157</v>
      </c>
      <c r="J1237" s="35"/>
      <c r="K1237" s="36" t="n">
        <f aca="false">+F1237*J1237</f>
        <v>0</v>
      </c>
      <c r="L1237" s="37" t="n">
        <f aca="false">I1237*K1237</f>
        <v>0</v>
      </c>
    </row>
    <row r="1238" customFormat="false" ht="15" hidden="false" customHeight="false" outlineLevel="0" collapsed="false">
      <c r="A1238" s="32" t="s">
        <v>2400</v>
      </c>
      <c r="B1238" s="32" t="s">
        <v>23</v>
      </c>
      <c r="C1238" s="32" t="s">
        <v>2401</v>
      </c>
      <c r="D1238" s="32" t="s">
        <v>2399</v>
      </c>
      <c r="E1238" s="33" t="n">
        <v>8430942329587</v>
      </c>
      <c r="F1238" s="33" t="n">
        <v>1</v>
      </c>
      <c r="G1238" s="34" t="n">
        <v>47.47</v>
      </c>
      <c r="H1238" s="33" t="n">
        <v>69</v>
      </c>
      <c r="I1238" s="34" t="n">
        <f aca="false">G1238*((100-H1238)/100)</f>
        <v>14.7157</v>
      </c>
      <c r="J1238" s="35"/>
      <c r="K1238" s="36" t="n">
        <f aca="false">+F1238*J1238</f>
        <v>0</v>
      </c>
      <c r="L1238" s="37" t="n">
        <f aca="false">I1238*K1238</f>
        <v>0</v>
      </c>
    </row>
    <row r="1239" customFormat="false" ht="15" hidden="false" customHeight="false" outlineLevel="0" collapsed="false">
      <c r="A1239" s="38" t="s">
        <v>2402</v>
      </c>
      <c r="B1239" s="38" t="n">
        <v>82161</v>
      </c>
      <c r="C1239" s="38" t="s">
        <v>2403</v>
      </c>
      <c r="D1239" s="38" t="s">
        <v>2399</v>
      </c>
      <c r="E1239" s="39" t="n">
        <v>8430942329600</v>
      </c>
      <c r="F1239" s="39" t="n">
        <v>1</v>
      </c>
      <c r="G1239" s="40" t="n">
        <v>48.57</v>
      </c>
      <c r="H1239" s="39" t="n">
        <v>69</v>
      </c>
      <c r="I1239" s="40" t="n">
        <f aca="false">G1239*((100-H1239)/100)</f>
        <v>15.0567</v>
      </c>
      <c r="J1239" s="41"/>
      <c r="K1239" s="42" t="n">
        <f aca="false">+F1239*J1239</f>
        <v>0</v>
      </c>
      <c r="L1239" s="43" t="n">
        <f aca="false">I1239*K1239</f>
        <v>0</v>
      </c>
    </row>
    <row r="1240" customFormat="false" ht="15" hidden="false" customHeight="false" outlineLevel="0" collapsed="false">
      <c r="A1240" s="32" t="s">
        <v>2404</v>
      </c>
      <c r="B1240" s="32" t="s">
        <v>23</v>
      </c>
      <c r="C1240" s="32" t="s">
        <v>2405</v>
      </c>
      <c r="D1240" s="32" t="s">
        <v>2399</v>
      </c>
      <c r="E1240" s="33" t="n">
        <v>8430942329617</v>
      </c>
      <c r="F1240" s="33" t="n">
        <v>1</v>
      </c>
      <c r="G1240" s="34" t="n">
        <v>49.66</v>
      </c>
      <c r="H1240" s="33" t="n">
        <v>69</v>
      </c>
      <c r="I1240" s="34" t="n">
        <f aca="false">G1240*((100-H1240)/100)</f>
        <v>15.3946</v>
      </c>
      <c r="J1240" s="35"/>
      <c r="K1240" s="36" t="n">
        <f aca="false">+F1240*J1240</f>
        <v>0</v>
      </c>
      <c r="L1240" s="37" t="n">
        <f aca="false">I1240*K1240</f>
        <v>0</v>
      </c>
    </row>
    <row r="1241" customFormat="false" ht="15" hidden="false" customHeight="false" outlineLevel="0" collapsed="false">
      <c r="A1241" s="32" t="s">
        <v>2406</v>
      </c>
      <c r="B1241" s="32" t="s">
        <v>23</v>
      </c>
      <c r="C1241" s="32" t="s">
        <v>2407</v>
      </c>
      <c r="D1241" s="32" t="s">
        <v>2399</v>
      </c>
      <c r="E1241" s="33" t="n">
        <v>8430942329624</v>
      </c>
      <c r="F1241" s="33" t="n">
        <v>1</v>
      </c>
      <c r="G1241" s="34" t="n">
        <v>51.56</v>
      </c>
      <c r="H1241" s="33" t="n">
        <v>69</v>
      </c>
      <c r="I1241" s="34" t="n">
        <f aca="false">G1241*((100-H1241)/100)</f>
        <v>15.9836</v>
      </c>
      <c r="J1241" s="35"/>
      <c r="K1241" s="36" t="n">
        <f aca="false">+F1241*J1241</f>
        <v>0</v>
      </c>
      <c r="L1241" s="37" t="n">
        <f aca="false">I1241*K1241</f>
        <v>0</v>
      </c>
    </row>
    <row r="1242" customFormat="false" ht="15" hidden="false" customHeight="false" outlineLevel="0" collapsed="false">
      <c r="A1242" s="32" t="s">
        <v>2408</v>
      </c>
      <c r="B1242" s="32" t="s">
        <v>23</v>
      </c>
      <c r="C1242" s="32" t="s">
        <v>2409</v>
      </c>
      <c r="D1242" s="32" t="s">
        <v>2399</v>
      </c>
      <c r="E1242" s="33" t="n">
        <v>8430942329631</v>
      </c>
      <c r="F1242" s="33" t="n">
        <v>1</v>
      </c>
      <c r="G1242" s="34" t="n">
        <v>51.56</v>
      </c>
      <c r="H1242" s="33" t="n">
        <v>69</v>
      </c>
      <c r="I1242" s="34" t="n">
        <f aca="false">G1242*((100-H1242)/100)</f>
        <v>15.9836</v>
      </c>
      <c r="J1242" s="35"/>
      <c r="K1242" s="36" t="n">
        <f aca="false">+F1242*J1242</f>
        <v>0</v>
      </c>
      <c r="L1242" s="37" t="n">
        <f aca="false">I1242*K1242</f>
        <v>0</v>
      </c>
    </row>
    <row r="1243" customFormat="false" ht="15" hidden="false" customHeight="false" outlineLevel="0" collapsed="false">
      <c r="A1243" s="38" t="s">
        <v>2410</v>
      </c>
      <c r="B1243" s="38" t="n">
        <v>659690</v>
      </c>
      <c r="C1243" s="38" t="s">
        <v>2411</v>
      </c>
      <c r="D1243" s="38" t="s">
        <v>2399</v>
      </c>
      <c r="E1243" s="39" t="n">
        <v>8430942329648</v>
      </c>
      <c r="F1243" s="39" t="n">
        <v>1</v>
      </c>
      <c r="G1243" s="40" t="n">
        <v>52.65</v>
      </c>
      <c r="H1243" s="39" t="n">
        <v>69</v>
      </c>
      <c r="I1243" s="40" t="n">
        <f aca="false">G1243*((100-H1243)/100)</f>
        <v>16.3215</v>
      </c>
      <c r="J1243" s="41"/>
      <c r="K1243" s="42" t="n">
        <f aca="false">+F1243*J1243</f>
        <v>0</v>
      </c>
      <c r="L1243" s="43" t="n">
        <f aca="false">I1243*K1243</f>
        <v>0</v>
      </c>
    </row>
    <row r="1244" customFormat="false" ht="15" hidden="false" customHeight="false" outlineLevel="0" collapsed="false">
      <c r="A1244" s="32" t="s">
        <v>2412</v>
      </c>
      <c r="B1244" s="32" t="s">
        <v>23</v>
      </c>
      <c r="C1244" s="32" t="s">
        <v>2413</v>
      </c>
      <c r="D1244" s="32" t="s">
        <v>2399</v>
      </c>
      <c r="E1244" s="33" t="n">
        <v>8430942329679</v>
      </c>
      <c r="F1244" s="33" t="n">
        <v>1</v>
      </c>
      <c r="G1244" s="34" t="n">
        <v>58.99</v>
      </c>
      <c r="H1244" s="33" t="n">
        <v>69</v>
      </c>
      <c r="I1244" s="34" t="n">
        <f aca="false">G1244*((100-H1244)/100)</f>
        <v>18.2869</v>
      </c>
      <c r="J1244" s="35"/>
      <c r="K1244" s="36" t="n">
        <f aca="false">+F1244*J1244</f>
        <v>0</v>
      </c>
      <c r="L1244" s="37" t="n">
        <f aca="false">I1244*K1244</f>
        <v>0</v>
      </c>
    </row>
    <row r="1245" customFormat="false" ht="15" hidden="false" customHeight="false" outlineLevel="0" collapsed="false">
      <c r="A1245" s="32" t="s">
        <v>2414</v>
      </c>
      <c r="B1245" s="32" t="s">
        <v>23</v>
      </c>
      <c r="C1245" s="32" t="s">
        <v>2415</v>
      </c>
      <c r="D1245" s="32" t="s">
        <v>2399</v>
      </c>
      <c r="E1245" s="33" t="n">
        <v>8430942329686</v>
      </c>
      <c r="F1245" s="33" t="n">
        <v>1</v>
      </c>
      <c r="G1245" s="34" t="n">
        <v>67.46</v>
      </c>
      <c r="H1245" s="33" t="n">
        <v>69</v>
      </c>
      <c r="I1245" s="34" t="n">
        <f aca="false">G1245*((100-H1245)/100)</f>
        <v>20.9126</v>
      </c>
      <c r="J1245" s="35"/>
      <c r="K1245" s="36" t="n">
        <f aca="false">+F1245*J1245</f>
        <v>0</v>
      </c>
      <c r="L1245" s="37" t="n">
        <f aca="false">I1245*K1245</f>
        <v>0</v>
      </c>
    </row>
    <row r="1246" customFormat="false" ht="15" hidden="false" customHeight="false" outlineLevel="0" collapsed="false">
      <c r="A1246" s="32" t="s">
        <v>2416</v>
      </c>
      <c r="B1246" s="32" t="s">
        <v>23</v>
      </c>
      <c r="C1246" s="32" t="s">
        <v>2417</v>
      </c>
      <c r="D1246" s="32" t="s">
        <v>2399</v>
      </c>
      <c r="E1246" s="33" t="n">
        <v>8430942329693</v>
      </c>
      <c r="F1246" s="33" t="n">
        <v>1</v>
      </c>
      <c r="G1246" s="34" t="n">
        <v>67.46</v>
      </c>
      <c r="H1246" s="33" t="n">
        <v>69</v>
      </c>
      <c r="I1246" s="34" t="n">
        <f aca="false">G1246*((100-H1246)/100)</f>
        <v>20.9126</v>
      </c>
      <c r="J1246" s="35"/>
      <c r="K1246" s="36" t="n">
        <f aca="false">+F1246*J1246</f>
        <v>0</v>
      </c>
      <c r="L1246" s="37" t="n">
        <f aca="false">I1246*K1246</f>
        <v>0</v>
      </c>
    </row>
    <row r="1247" customFormat="false" ht="15" hidden="false" customHeight="false" outlineLevel="0" collapsed="false">
      <c r="A1247" s="32" t="s">
        <v>2418</v>
      </c>
      <c r="B1247" s="32" t="s">
        <v>23</v>
      </c>
      <c r="C1247" s="32" t="s">
        <v>2419</v>
      </c>
      <c r="D1247" s="32" t="s">
        <v>2399</v>
      </c>
      <c r="E1247" s="33" t="n">
        <v>8430942329716</v>
      </c>
      <c r="F1247" s="33" t="n">
        <v>1</v>
      </c>
      <c r="G1247" s="34" t="n">
        <v>75.99</v>
      </c>
      <c r="H1247" s="33" t="n">
        <v>69</v>
      </c>
      <c r="I1247" s="34" t="n">
        <f aca="false">G1247*((100-H1247)/100)</f>
        <v>23.5569</v>
      </c>
      <c r="J1247" s="35"/>
      <c r="K1247" s="36" t="n">
        <f aca="false">+F1247*J1247</f>
        <v>0</v>
      </c>
      <c r="L1247" s="37" t="n">
        <f aca="false">I1247*K1247</f>
        <v>0</v>
      </c>
    </row>
    <row r="1248" customFormat="false" ht="15" hidden="false" customHeight="false" outlineLevel="0" collapsed="false">
      <c r="A1248" s="32" t="s">
        <v>2420</v>
      </c>
      <c r="B1248" s="32" t="s">
        <v>23</v>
      </c>
      <c r="C1248" s="32" t="s">
        <v>2421</v>
      </c>
      <c r="D1248" s="32" t="s">
        <v>2399</v>
      </c>
      <c r="E1248" s="33" t="n">
        <v>8430942329723</v>
      </c>
      <c r="F1248" s="33" t="n">
        <v>1</v>
      </c>
      <c r="G1248" s="34" t="n">
        <v>80.38</v>
      </c>
      <c r="H1248" s="33" t="n">
        <v>69</v>
      </c>
      <c r="I1248" s="34" t="n">
        <f aca="false">G1248*((100-H1248)/100)</f>
        <v>24.9178</v>
      </c>
      <c r="J1248" s="35"/>
      <c r="K1248" s="36" t="n">
        <f aca="false">+F1248*J1248</f>
        <v>0</v>
      </c>
      <c r="L1248" s="37" t="n">
        <f aca="false">I1248*K1248</f>
        <v>0</v>
      </c>
    </row>
    <row r="1249" customFormat="false" ht="15" hidden="false" customHeight="false" outlineLevel="0" collapsed="false">
      <c r="A1249" s="32" t="s">
        <v>2422</v>
      </c>
      <c r="B1249" s="32" t="s">
        <v>23</v>
      </c>
      <c r="C1249" s="32" t="s">
        <v>2423</v>
      </c>
      <c r="D1249" s="32" t="s">
        <v>2399</v>
      </c>
      <c r="E1249" s="33" t="n">
        <v>8430942329761</v>
      </c>
      <c r="F1249" s="33" t="n">
        <v>1</v>
      </c>
      <c r="G1249" s="34" t="n">
        <v>257.79</v>
      </c>
      <c r="H1249" s="33" t="n">
        <v>69</v>
      </c>
      <c r="I1249" s="34" t="n">
        <f aca="false">G1249*((100-H1249)/100)</f>
        <v>79.9149</v>
      </c>
      <c r="J1249" s="35"/>
      <c r="K1249" s="36" t="n">
        <f aca="false">+F1249*J1249</f>
        <v>0</v>
      </c>
      <c r="L1249" s="37" t="n">
        <f aca="false">I1249*K1249</f>
        <v>0</v>
      </c>
    </row>
    <row r="1250" customFormat="false" ht="15" hidden="false" customHeight="false" outlineLevel="0" collapsed="false">
      <c r="A1250" s="32" t="s">
        <v>2424</v>
      </c>
      <c r="B1250" s="32" t="s">
        <v>23</v>
      </c>
      <c r="C1250" s="32" t="s">
        <v>2425</v>
      </c>
      <c r="D1250" s="32" t="s">
        <v>655</v>
      </c>
      <c r="E1250" s="33" t="n">
        <v>8430942328160</v>
      </c>
      <c r="F1250" s="33" t="n">
        <v>1</v>
      </c>
      <c r="G1250" s="34" t="n">
        <v>58.36</v>
      </c>
      <c r="H1250" s="33" t="n">
        <v>69</v>
      </c>
      <c r="I1250" s="34" t="n">
        <f aca="false">G1250*((100-H1250)/100)</f>
        <v>18.0916</v>
      </c>
      <c r="J1250" s="35"/>
      <c r="K1250" s="36" t="n">
        <f aca="false">+F1250*J1250</f>
        <v>0</v>
      </c>
      <c r="L1250" s="37" t="n">
        <f aca="false">I1250*K1250</f>
        <v>0</v>
      </c>
    </row>
    <row r="1251" customFormat="false" ht="15" hidden="false" customHeight="false" outlineLevel="0" collapsed="false">
      <c r="A1251" s="32" t="s">
        <v>2426</v>
      </c>
      <c r="B1251" s="32" t="s">
        <v>23</v>
      </c>
      <c r="C1251" s="32" t="s">
        <v>2427</v>
      </c>
      <c r="D1251" s="32" t="s">
        <v>655</v>
      </c>
      <c r="E1251" s="33" t="n">
        <v>8430942328177</v>
      </c>
      <c r="F1251" s="33" t="n">
        <v>1</v>
      </c>
      <c r="G1251" s="34" t="n">
        <v>58.36</v>
      </c>
      <c r="H1251" s="33" t="n">
        <v>69</v>
      </c>
      <c r="I1251" s="34" t="n">
        <f aca="false">G1251*((100-H1251)/100)</f>
        <v>18.0916</v>
      </c>
      <c r="J1251" s="35"/>
      <c r="K1251" s="36" t="n">
        <f aca="false">+F1251*J1251</f>
        <v>0</v>
      </c>
      <c r="L1251" s="37" t="n">
        <f aca="false">I1251*K1251</f>
        <v>0</v>
      </c>
    </row>
    <row r="1252" customFormat="false" ht="15" hidden="false" customHeight="false" outlineLevel="0" collapsed="false">
      <c r="A1252" s="38" t="s">
        <v>2428</v>
      </c>
      <c r="B1252" s="38" t="n">
        <v>657074</v>
      </c>
      <c r="C1252" s="38" t="s">
        <v>2429</v>
      </c>
      <c r="D1252" s="38" t="s">
        <v>655</v>
      </c>
      <c r="E1252" s="39" t="n">
        <v>8430942328184</v>
      </c>
      <c r="F1252" s="39" t="n">
        <v>1</v>
      </c>
      <c r="G1252" s="40" t="n">
        <v>59.9</v>
      </c>
      <c r="H1252" s="39" t="n">
        <v>69</v>
      </c>
      <c r="I1252" s="40" t="n">
        <f aca="false">G1252*((100-H1252)/100)</f>
        <v>18.569</v>
      </c>
      <c r="J1252" s="41"/>
      <c r="K1252" s="42" t="n">
        <f aca="false">+F1252*J1252</f>
        <v>0</v>
      </c>
      <c r="L1252" s="43" t="n">
        <f aca="false">I1252*K1252</f>
        <v>0</v>
      </c>
    </row>
    <row r="1253" customFormat="false" ht="15" hidden="false" customHeight="false" outlineLevel="0" collapsed="false">
      <c r="A1253" s="32" t="s">
        <v>2430</v>
      </c>
      <c r="B1253" s="32" t="s">
        <v>23</v>
      </c>
      <c r="C1253" s="32" t="s">
        <v>2431</v>
      </c>
      <c r="D1253" s="32" t="s">
        <v>655</v>
      </c>
      <c r="E1253" s="33" t="n">
        <v>8430942328191</v>
      </c>
      <c r="F1253" s="33" t="n">
        <v>1</v>
      </c>
      <c r="G1253" s="34" t="n">
        <v>61.18</v>
      </c>
      <c r="H1253" s="33" t="n">
        <v>69</v>
      </c>
      <c r="I1253" s="34" t="n">
        <f aca="false">G1253*((100-H1253)/100)</f>
        <v>18.9658</v>
      </c>
      <c r="J1253" s="35"/>
      <c r="K1253" s="36" t="n">
        <f aca="false">+F1253*J1253</f>
        <v>0</v>
      </c>
      <c r="L1253" s="37" t="n">
        <f aca="false">I1253*K1253</f>
        <v>0</v>
      </c>
    </row>
    <row r="1254" customFormat="false" ht="15" hidden="false" customHeight="false" outlineLevel="0" collapsed="false">
      <c r="A1254" s="32" t="s">
        <v>2432</v>
      </c>
      <c r="B1254" s="32" t="s">
        <v>23</v>
      </c>
      <c r="C1254" s="32" t="s">
        <v>2433</v>
      </c>
      <c r="D1254" s="32" t="s">
        <v>655</v>
      </c>
      <c r="E1254" s="33" t="n">
        <v>8430942328207</v>
      </c>
      <c r="F1254" s="33" t="n">
        <v>1</v>
      </c>
      <c r="G1254" s="34" t="n">
        <v>62.2</v>
      </c>
      <c r="H1254" s="33" t="n">
        <v>69</v>
      </c>
      <c r="I1254" s="34" t="n">
        <f aca="false">G1254*((100-H1254)/100)</f>
        <v>19.282</v>
      </c>
      <c r="J1254" s="35"/>
      <c r="K1254" s="36" t="n">
        <f aca="false">+F1254*J1254</f>
        <v>0</v>
      </c>
      <c r="L1254" s="37" t="n">
        <f aca="false">I1254*K1254</f>
        <v>0</v>
      </c>
    </row>
    <row r="1255" customFormat="false" ht="15" hidden="false" customHeight="false" outlineLevel="0" collapsed="false">
      <c r="A1255" s="32" t="s">
        <v>2434</v>
      </c>
      <c r="B1255" s="32" t="s">
        <v>23</v>
      </c>
      <c r="C1255" s="32" t="s">
        <v>2435</v>
      </c>
      <c r="D1255" s="32" t="s">
        <v>655</v>
      </c>
      <c r="E1255" s="33" t="n">
        <v>8430942328214</v>
      </c>
      <c r="F1255" s="33" t="n">
        <v>1</v>
      </c>
      <c r="G1255" s="34" t="n">
        <v>64.5</v>
      </c>
      <c r="H1255" s="33" t="n">
        <v>69</v>
      </c>
      <c r="I1255" s="34" t="n">
        <f aca="false">G1255*((100-H1255)/100)</f>
        <v>19.995</v>
      </c>
      <c r="J1255" s="35"/>
      <c r="K1255" s="36" t="n">
        <f aca="false">+F1255*J1255</f>
        <v>0</v>
      </c>
      <c r="L1255" s="37" t="n">
        <f aca="false">I1255*K1255</f>
        <v>0</v>
      </c>
    </row>
    <row r="1256" customFormat="false" ht="15" hidden="false" customHeight="false" outlineLevel="0" collapsed="false">
      <c r="A1256" s="38" t="s">
        <v>2436</v>
      </c>
      <c r="B1256" s="38" t="n">
        <v>657075</v>
      </c>
      <c r="C1256" s="38" t="s">
        <v>2437</v>
      </c>
      <c r="D1256" s="38" t="s">
        <v>655</v>
      </c>
      <c r="E1256" s="39" t="n">
        <v>8430942328221</v>
      </c>
      <c r="F1256" s="39" t="n">
        <v>1</v>
      </c>
      <c r="G1256" s="40" t="n">
        <v>64.5</v>
      </c>
      <c r="H1256" s="39" t="n">
        <v>69</v>
      </c>
      <c r="I1256" s="40" t="n">
        <f aca="false">G1256*((100-H1256)/100)</f>
        <v>19.995</v>
      </c>
      <c r="J1256" s="41"/>
      <c r="K1256" s="42" t="n">
        <f aca="false">+F1256*J1256</f>
        <v>0</v>
      </c>
      <c r="L1256" s="43" t="n">
        <f aca="false">I1256*K1256</f>
        <v>0</v>
      </c>
    </row>
    <row r="1257" customFormat="false" ht="15" hidden="false" customHeight="false" outlineLevel="0" collapsed="false">
      <c r="A1257" s="32" t="s">
        <v>2438</v>
      </c>
      <c r="B1257" s="32" t="s">
        <v>23</v>
      </c>
      <c r="C1257" s="32" t="s">
        <v>2439</v>
      </c>
      <c r="D1257" s="32" t="s">
        <v>655</v>
      </c>
      <c r="E1257" s="33" t="n">
        <v>8430942328245</v>
      </c>
      <c r="F1257" s="33" t="n">
        <v>1</v>
      </c>
      <c r="G1257" s="34" t="n">
        <v>67.06</v>
      </c>
      <c r="H1257" s="33" t="n">
        <v>69</v>
      </c>
      <c r="I1257" s="34" t="n">
        <f aca="false">G1257*((100-H1257)/100)</f>
        <v>20.7886</v>
      </c>
      <c r="J1257" s="35"/>
      <c r="K1257" s="36" t="n">
        <f aca="false">+F1257*J1257</f>
        <v>0</v>
      </c>
      <c r="L1257" s="37" t="n">
        <f aca="false">I1257*K1257</f>
        <v>0</v>
      </c>
    </row>
    <row r="1258" customFormat="false" ht="15" hidden="false" customHeight="false" outlineLevel="0" collapsed="false">
      <c r="A1258" s="32" t="s">
        <v>2440</v>
      </c>
      <c r="B1258" s="32" t="s">
        <v>23</v>
      </c>
      <c r="C1258" s="32" t="s">
        <v>2441</v>
      </c>
      <c r="D1258" s="32" t="s">
        <v>655</v>
      </c>
      <c r="E1258" s="33" t="n">
        <v>8430942328252</v>
      </c>
      <c r="F1258" s="33" t="n">
        <v>1</v>
      </c>
      <c r="G1258" s="34" t="n">
        <v>68.59</v>
      </c>
      <c r="H1258" s="33" t="n">
        <v>69</v>
      </c>
      <c r="I1258" s="34" t="n">
        <f aca="false">G1258*((100-H1258)/100)</f>
        <v>21.2629</v>
      </c>
      <c r="J1258" s="35"/>
      <c r="K1258" s="36" t="n">
        <f aca="false">+F1258*J1258</f>
        <v>0</v>
      </c>
      <c r="L1258" s="37" t="n">
        <f aca="false">I1258*K1258</f>
        <v>0</v>
      </c>
    </row>
    <row r="1259" customFormat="false" ht="15" hidden="false" customHeight="false" outlineLevel="0" collapsed="false">
      <c r="A1259" s="32" t="s">
        <v>2442</v>
      </c>
      <c r="B1259" s="32" t="s">
        <v>23</v>
      </c>
      <c r="C1259" s="32" t="s">
        <v>2443</v>
      </c>
      <c r="D1259" s="32" t="s">
        <v>655</v>
      </c>
      <c r="E1259" s="33" t="n">
        <v>8430942328269</v>
      </c>
      <c r="F1259" s="33" t="n">
        <v>1</v>
      </c>
      <c r="G1259" s="34" t="n">
        <v>68.59</v>
      </c>
      <c r="H1259" s="33" t="n">
        <v>69</v>
      </c>
      <c r="I1259" s="34" t="n">
        <f aca="false">G1259*((100-H1259)/100)</f>
        <v>21.2629</v>
      </c>
      <c r="J1259" s="35"/>
      <c r="K1259" s="36" t="n">
        <f aca="false">+F1259*J1259</f>
        <v>0</v>
      </c>
      <c r="L1259" s="37" t="n">
        <f aca="false">I1259*K1259</f>
        <v>0</v>
      </c>
    </row>
    <row r="1260" customFormat="false" ht="15" hidden="false" customHeight="false" outlineLevel="0" collapsed="false">
      <c r="A1260" s="32" t="s">
        <v>2444</v>
      </c>
      <c r="B1260" s="32" t="s">
        <v>23</v>
      </c>
      <c r="C1260" s="32" t="s">
        <v>2445</v>
      </c>
      <c r="D1260" s="32" t="s">
        <v>655</v>
      </c>
      <c r="E1260" s="33" t="n">
        <v>8430942328283</v>
      </c>
      <c r="F1260" s="33" t="n">
        <v>1</v>
      </c>
      <c r="G1260" s="34" t="n">
        <v>74.09</v>
      </c>
      <c r="H1260" s="33" t="n">
        <v>69</v>
      </c>
      <c r="I1260" s="34" t="n">
        <f aca="false">G1260*((100-H1260)/100)</f>
        <v>22.9679</v>
      </c>
      <c r="J1260" s="35"/>
      <c r="K1260" s="36" t="n">
        <f aca="false">+F1260*J1260</f>
        <v>0</v>
      </c>
      <c r="L1260" s="37" t="n">
        <f aca="false">I1260*K1260</f>
        <v>0</v>
      </c>
    </row>
    <row r="1261" customFormat="false" ht="15" hidden="false" customHeight="false" outlineLevel="0" collapsed="false">
      <c r="A1261" s="32" t="s">
        <v>2446</v>
      </c>
      <c r="B1261" s="32" t="s">
        <v>23</v>
      </c>
      <c r="C1261" s="32" t="s">
        <v>2447</v>
      </c>
      <c r="D1261" s="32" t="s">
        <v>655</v>
      </c>
      <c r="E1261" s="33" t="n">
        <v>8430942328290</v>
      </c>
      <c r="F1261" s="33" t="n">
        <v>1</v>
      </c>
      <c r="G1261" s="34" t="n">
        <v>81.93</v>
      </c>
      <c r="H1261" s="33" t="n">
        <v>69</v>
      </c>
      <c r="I1261" s="34" t="n">
        <f aca="false">G1261*((100-H1261)/100)</f>
        <v>25.3983</v>
      </c>
      <c r="J1261" s="35"/>
      <c r="K1261" s="36" t="n">
        <f aca="false">+F1261*J1261</f>
        <v>0</v>
      </c>
      <c r="L1261" s="37" t="n">
        <f aca="false">I1261*K1261</f>
        <v>0</v>
      </c>
    </row>
    <row r="1262" customFormat="false" ht="15" hidden="false" customHeight="false" outlineLevel="0" collapsed="false">
      <c r="A1262" s="32" t="s">
        <v>2448</v>
      </c>
      <c r="B1262" s="32" t="s">
        <v>23</v>
      </c>
      <c r="C1262" s="32" t="s">
        <v>2449</v>
      </c>
      <c r="D1262" s="32" t="s">
        <v>655</v>
      </c>
      <c r="E1262" s="33" t="n">
        <v>8430942328313</v>
      </c>
      <c r="F1262" s="33" t="n">
        <v>1</v>
      </c>
      <c r="G1262" s="34" t="n">
        <v>116.72</v>
      </c>
      <c r="H1262" s="33" t="n">
        <v>69</v>
      </c>
      <c r="I1262" s="34" t="n">
        <f aca="false">G1262*((100-H1262)/100)</f>
        <v>36.1832</v>
      </c>
      <c r="J1262" s="35"/>
      <c r="K1262" s="36" t="n">
        <f aca="false">+F1262*J1262</f>
        <v>0</v>
      </c>
      <c r="L1262" s="37" t="n">
        <f aca="false">I1262*K1262</f>
        <v>0</v>
      </c>
    </row>
    <row r="1263" customFormat="false" ht="15" hidden="false" customHeight="false" outlineLevel="0" collapsed="false">
      <c r="A1263" s="32" t="s">
        <v>2450</v>
      </c>
      <c r="B1263" s="32" t="s">
        <v>23</v>
      </c>
      <c r="C1263" s="32" t="s">
        <v>2451</v>
      </c>
      <c r="D1263" s="32" t="s">
        <v>655</v>
      </c>
      <c r="E1263" s="33" t="n">
        <v>8430942328337</v>
      </c>
      <c r="F1263" s="33" t="n">
        <v>1</v>
      </c>
      <c r="G1263" s="34" t="n">
        <v>135.66</v>
      </c>
      <c r="H1263" s="33" t="n">
        <v>69</v>
      </c>
      <c r="I1263" s="34" t="n">
        <f aca="false">G1263*((100-H1263)/100)</f>
        <v>42.0546</v>
      </c>
      <c r="J1263" s="35"/>
      <c r="K1263" s="36" t="n">
        <f aca="false">+F1263*J1263</f>
        <v>0</v>
      </c>
      <c r="L1263" s="37" t="n">
        <f aca="false">I1263*K1263</f>
        <v>0</v>
      </c>
    </row>
    <row r="1264" customFormat="false" ht="15" hidden="false" customHeight="false" outlineLevel="0" collapsed="false">
      <c r="A1264" s="32" t="s">
        <v>2452</v>
      </c>
      <c r="B1264" s="32" t="s">
        <v>23</v>
      </c>
      <c r="C1264" s="32" t="s">
        <v>2453</v>
      </c>
      <c r="D1264" s="32" t="s">
        <v>655</v>
      </c>
      <c r="E1264" s="33" t="n">
        <v>8430942328344</v>
      </c>
      <c r="F1264" s="33" t="n">
        <v>1</v>
      </c>
      <c r="G1264" s="34" t="n">
        <v>439.12</v>
      </c>
      <c r="H1264" s="33" t="n">
        <v>69</v>
      </c>
      <c r="I1264" s="34" t="n">
        <f aca="false">G1264*((100-H1264)/100)</f>
        <v>136.1272</v>
      </c>
      <c r="J1264" s="35"/>
      <c r="K1264" s="36" t="n">
        <f aca="false">+F1264*J1264</f>
        <v>0</v>
      </c>
      <c r="L1264" s="37" t="n">
        <f aca="false">I1264*K1264</f>
        <v>0</v>
      </c>
    </row>
    <row r="1265" customFormat="false" ht="15" hidden="false" customHeight="false" outlineLevel="0" collapsed="false">
      <c r="A1265" s="32" t="s">
        <v>2454</v>
      </c>
      <c r="B1265" s="32" t="s">
        <v>23</v>
      </c>
      <c r="C1265" s="32" t="s">
        <v>2455</v>
      </c>
      <c r="D1265" s="32" t="s">
        <v>2456</v>
      </c>
      <c r="E1265" s="33" t="n">
        <v>8430942333102</v>
      </c>
      <c r="F1265" s="33" t="n">
        <v>20</v>
      </c>
      <c r="G1265" s="34" t="n">
        <v>44.9</v>
      </c>
      <c r="H1265" s="33" t="n">
        <v>69</v>
      </c>
      <c r="I1265" s="34" t="n">
        <f aca="false">G1265*((100-H1265)/100)</f>
        <v>13.919</v>
      </c>
      <c r="J1265" s="35"/>
      <c r="K1265" s="36" t="n">
        <f aca="false">+F1265*J1265</f>
        <v>0</v>
      </c>
      <c r="L1265" s="37" t="n">
        <f aca="false">I1265*K1265</f>
        <v>0</v>
      </c>
    </row>
    <row r="1266" customFormat="false" ht="15" hidden="false" customHeight="false" outlineLevel="0" collapsed="false">
      <c r="A1266" s="32" t="s">
        <v>2457</v>
      </c>
      <c r="B1266" s="32" t="s">
        <v>23</v>
      </c>
      <c r="C1266" s="32" t="s">
        <v>2458</v>
      </c>
      <c r="D1266" s="32" t="s">
        <v>2456</v>
      </c>
      <c r="E1266" s="33" t="n">
        <v>8430942333119</v>
      </c>
      <c r="F1266" s="33" t="n">
        <v>20</v>
      </c>
      <c r="G1266" s="34" t="n">
        <v>44.9</v>
      </c>
      <c r="H1266" s="33" t="n">
        <v>69</v>
      </c>
      <c r="I1266" s="34" t="n">
        <f aca="false">G1266*((100-H1266)/100)</f>
        <v>13.919</v>
      </c>
      <c r="J1266" s="35"/>
      <c r="K1266" s="36" t="n">
        <f aca="false">+F1266*J1266</f>
        <v>0</v>
      </c>
      <c r="L1266" s="37" t="n">
        <f aca="false">I1266*K1266</f>
        <v>0</v>
      </c>
    </row>
    <row r="1267" customFormat="false" ht="15" hidden="false" customHeight="false" outlineLevel="0" collapsed="false">
      <c r="A1267" s="32" t="s">
        <v>2459</v>
      </c>
      <c r="B1267" s="32" t="s">
        <v>23</v>
      </c>
      <c r="C1267" s="32" t="s">
        <v>2460</v>
      </c>
      <c r="D1267" s="32" t="s">
        <v>2456</v>
      </c>
      <c r="E1267" s="33" t="n">
        <v>8430942333126</v>
      </c>
      <c r="F1267" s="33" t="n">
        <v>20</v>
      </c>
      <c r="G1267" s="34" t="n">
        <v>44.9</v>
      </c>
      <c r="H1267" s="33" t="n">
        <v>69</v>
      </c>
      <c r="I1267" s="34" t="n">
        <f aca="false">G1267*((100-H1267)/100)</f>
        <v>13.919</v>
      </c>
      <c r="J1267" s="35"/>
      <c r="K1267" s="36" t="n">
        <f aca="false">+F1267*J1267</f>
        <v>0</v>
      </c>
      <c r="L1267" s="37" t="n">
        <f aca="false">I1267*K1267</f>
        <v>0</v>
      </c>
    </row>
    <row r="1268" customFormat="false" ht="15" hidden="false" customHeight="false" outlineLevel="0" collapsed="false">
      <c r="A1268" s="32" t="s">
        <v>2461</v>
      </c>
      <c r="B1268" s="32" t="s">
        <v>23</v>
      </c>
      <c r="C1268" s="32" t="s">
        <v>2462</v>
      </c>
      <c r="D1268" s="32" t="s">
        <v>2456</v>
      </c>
      <c r="E1268" s="33" t="n">
        <v>8430942333133</v>
      </c>
      <c r="F1268" s="33" t="n">
        <v>16</v>
      </c>
      <c r="G1268" s="34" t="n">
        <v>49.05</v>
      </c>
      <c r="H1268" s="33" t="n">
        <v>69</v>
      </c>
      <c r="I1268" s="34" t="n">
        <f aca="false">G1268*((100-H1268)/100)</f>
        <v>15.2055</v>
      </c>
      <c r="J1268" s="35"/>
      <c r="K1268" s="36" t="n">
        <f aca="false">+F1268*J1268</f>
        <v>0</v>
      </c>
      <c r="L1268" s="37" t="n">
        <f aca="false">I1268*K1268</f>
        <v>0</v>
      </c>
    </row>
    <row r="1269" customFormat="false" ht="15" hidden="false" customHeight="false" outlineLevel="0" collapsed="false">
      <c r="A1269" s="32" t="s">
        <v>2463</v>
      </c>
      <c r="B1269" s="32" t="s">
        <v>23</v>
      </c>
      <c r="C1269" s="32" t="s">
        <v>2464</v>
      </c>
      <c r="D1269" s="32" t="s">
        <v>2456</v>
      </c>
      <c r="E1269" s="33" t="n">
        <v>8430942333140</v>
      </c>
      <c r="F1269" s="33" t="n">
        <v>12</v>
      </c>
      <c r="G1269" s="34" t="n">
        <v>54.6</v>
      </c>
      <c r="H1269" s="33" t="n">
        <v>69</v>
      </c>
      <c r="I1269" s="34" t="n">
        <f aca="false">G1269*((100-H1269)/100)</f>
        <v>16.926</v>
      </c>
      <c r="J1269" s="35"/>
      <c r="K1269" s="36" t="n">
        <f aca="false">+F1269*J1269</f>
        <v>0</v>
      </c>
      <c r="L1269" s="37" t="n">
        <f aca="false">I1269*K1269</f>
        <v>0</v>
      </c>
    </row>
    <row r="1270" customFormat="false" ht="15" hidden="false" customHeight="false" outlineLevel="0" collapsed="false">
      <c r="A1270" s="32" t="s">
        <v>2465</v>
      </c>
      <c r="B1270" s="32" t="s">
        <v>23</v>
      </c>
      <c r="C1270" s="32" t="s">
        <v>2466</v>
      </c>
      <c r="D1270" s="32" t="s">
        <v>2456</v>
      </c>
      <c r="E1270" s="33" t="n">
        <v>8430942333157</v>
      </c>
      <c r="F1270" s="33" t="n">
        <v>12</v>
      </c>
      <c r="G1270" s="34" t="n">
        <v>57.45</v>
      </c>
      <c r="H1270" s="33" t="n">
        <v>69</v>
      </c>
      <c r="I1270" s="34" t="n">
        <f aca="false">G1270*((100-H1270)/100)</f>
        <v>17.8095</v>
      </c>
      <c r="J1270" s="35"/>
      <c r="K1270" s="36" t="n">
        <f aca="false">+F1270*J1270</f>
        <v>0</v>
      </c>
      <c r="L1270" s="37" t="n">
        <f aca="false">I1270*K1270</f>
        <v>0</v>
      </c>
    </row>
    <row r="1271" customFormat="false" ht="15" hidden="false" customHeight="false" outlineLevel="0" collapsed="false">
      <c r="A1271" s="32" t="s">
        <v>2467</v>
      </c>
      <c r="B1271" s="32" t="s">
        <v>23</v>
      </c>
      <c r="C1271" s="32" t="s">
        <v>2468</v>
      </c>
      <c r="D1271" s="32" t="s">
        <v>2456</v>
      </c>
      <c r="E1271" s="33" t="n">
        <v>8430942333164</v>
      </c>
      <c r="F1271" s="33" t="n">
        <v>9</v>
      </c>
      <c r="G1271" s="34" t="n">
        <v>71.55</v>
      </c>
      <c r="H1271" s="33" t="n">
        <v>69</v>
      </c>
      <c r="I1271" s="34" t="n">
        <f aca="false">G1271*((100-H1271)/100)</f>
        <v>22.1805</v>
      </c>
      <c r="J1271" s="35"/>
      <c r="K1271" s="36" t="n">
        <f aca="false">+F1271*J1271</f>
        <v>0</v>
      </c>
      <c r="L1271" s="37" t="n">
        <f aca="false">I1271*K1271</f>
        <v>0</v>
      </c>
    </row>
    <row r="1272" customFormat="false" ht="15" hidden="false" customHeight="false" outlineLevel="0" collapsed="false">
      <c r="A1272" s="32" t="s">
        <v>2469</v>
      </c>
      <c r="B1272" s="32" t="s">
        <v>23</v>
      </c>
      <c r="C1272" s="32" t="s">
        <v>2470</v>
      </c>
      <c r="D1272" s="32" t="s">
        <v>2456</v>
      </c>
      <c r="E1272" s="33" t="n">
        <v>8430942333188</v>
      </c>
      <c r="F1272" s="33" t="n">
        <v>5</v>
      </c>
      <c r="G1272" s="34" t="n">
        <v>108.1</v>
      </c>
      <c r="H1272" s="33" t="n">
        <v>69</v>
      </c>
      <c r="I1272" s="34" t="n">
        <f aca="false">G1272*((100-H1272)/100)</f>
        <v>33.511</v>
      </c>
      <c r="J1272" s="35"/>
      <c r="K1272" s="36" t="n">
        <f aca="false">+F1272*J1272</f>
        <v>0</v>
      </c>
      <c r="L1272" s="37" t="n">
        <f aca="false">I1272*K1272</f>
        <v>0</v>
      </c>
    </row>
    <row r="1273" customFormat="false" ht="15" hidden="false" customHeight="false" outlineLevel="0" collapsed="false">
      <c r="A1273" s="32" t="s">
        <v>2471</v>
      </c>
      <c r="B1273" s="32" t="s">
        <v>23</v>
      </c>
      <c r="C1273" s="32" t="s">
        <v>2472</v>
      </c>
      <c r="D1273" s="32" t="s">
        <v>2456</v>
      </c>
      <c r="E1273" s="33" t="n">
        <v>8430942333195</v>
      </c>
      <c r="F1273" s="33" t="n">
        <v>5</v>
      </c>
      <c r="G1273" s="34" t="n">
        <v>108.1</v>
      </c>
      <c r="H1273" s="33" t="n">
        <v>69</v>
      </c>
      <c r="I1273" s="34" t="n">
        <f aca="false">G1273*((100-H1273)/100)</f>
        <v>33.511</v>
      </c>
      <c r="J1273" s="35"/>
      <c r="K1273" s="36" t="n">
        <f aca="false">+F1273*J1273</f>
        <v>0</v>
      </c>
      <c r="L1273" s="37" t="n">
        <f aca="false">I1273*K1273</f>
        <v>0</v>
      </c>
    </row>
    <row r="1274" customFormat="false" ht="15" hidden="false" customHeight="false" outlineLevel="0" collapsed="false">
      <c r="A1274" s="32" t="s">
        <v>2473</v>
      </c>
      <c r="B1274" s="32" t="s">
        <v>23</v>
      </c>
      <c r="C1274" s="32" t="s">
        <v>2474</v>
      </c>
      <c r="D1274" s="32" t="s">
        <v>2456</v>
      </c>
      <c r="E1274" s="33" t="n">
        <v>8430942333201</v>
      </c>
      <c r="F1274" s="33" t="n">
        <v>4</v>
      </c>
      <c r="G1274" s="34" t="n">
        <v>112</v>
      </c>
      <c r="H1274" s="33" t="n">
        <v>69</v>
      </c>
      <c r="I1274" s="34" t="n">
        <f aca="false">G1274*((100-H1274)/100)</f>
        <v>34.72</v>
      </c>
      <c r="J1274" s="35"/>
      <c r="K1274" s="36" t="n">
        <f aca="false">+F1274*J1274</f>
        <v>0</v>
      </c>
      <c r="L1274" s="37" t="n">
        <f aca="false">I1274*K1274</f>
        <v>0</v>
      </c>
    </row>
    <row r="1275" customFormat="false" ht="15" hidden="false" customHeight="false" outlineLevel="0" collapsed="false">
      <c r="A1275" s="32" t="s">
        <v>2475</v>
      </c>
      <c r="B1275" s="32" t="s">
        <v>23</v>
      </c>
      <c r="C1275" s="32" t="s">
        <v>2476</v>
      </c>
      <c r="D1275" s="32" t="s">
        <v>2477</v>
      </c>
      <c r="E1275" s="33" t="n">
        <v>8430942327194</v>
      </c>
      <c r="F1275" s="33" t="n">
        <v>1</v>
      </c>
      <c r="G1275" s="34" t="n">
        <v>518.2</v>
      </c>
      <c r="H1275" s="33" t="n">
        <v>69</v>
      </c>
      <c r="I1275" s="34" t="n">
        <f aca="false">G1275*((100-H1275)/100)</f>
        <v>160.642</v>
      </c>
      <c r="J1275" s="35"/>
      <c r="K1275" s="36" t="n">
        <f aca="false">+F1275*J1275</f>
        <v>0</v>
      </c>
      <c r="L1275" s="37" t="n">
        <f aca="false">I1275*K1275</f>
        <v>0</v>
      </c>
    </row>
    <row r="1276" customFormat="false" ht="15" hidden="false" customHeight="false" outlineLevel="0" collapsed="false">
      <c r="A1276" s="32" t="s">
        <v>2478</v>
      </c>
      <c r="B1276" s="32" t="s">
        <v>23</v>
      </c>
      <c r="C1276" s="32" t="s">
        <v>2479</v>
      </c>
      <c r="D1276" s="32" t="s">
        <v>2480</v>
      </c>
      <c r="E1276" s="33" t="n">
        <v>8430942332198</v>
      </c>
      <c r="F1276" s="33" t="n">
        <v>1</v>
      </c>
      <c r="G1276" s="34" t="n">
        <v>19.95</v>
      </c>
      <c r="H1276" s="33" t="n">
        <v>69</v>
      </c>
      <c r="I1276" s="34" t="n">
        <f aca="false">G1276*((100-H1276)/100)</f>
        <v>6.1845</v>
      </c>
      <c r="J1276" s="35"/>
      <c r="K1276" s="36" t="n">
        <f aca="false">+F1276*J1276</f>
        <v>0</v>
      </c>
      <c r="L1276" s="37" t="n">
        <f aca="false">I1276*K1276</f>
        <v>0</v>
      </c>
    </row>
    <row r="1277" customFormat="false" ht="15" hidden="false" customHeight="false" outlineLevel="0" collapsed="false">
      <c r="A1277" s="32" t="s">
        <v>2481</v>
      </c>
      <c r="B1277" s="32" t="s">
        <v>23</v>
      </c>
      <c r="C1277" s="32" t="s">
        <v>2482</v>
      </c>
      <c r="D1277" s="32" t="s">
        <v>2480</v>
      </c>
      <c r="E1277" s="33" t="n">
        <v>8430942332204</v>
      </c>
      <c r="F1277" s="33" t="n">
        <v>1</v>
      </c>
      <c r="G1277" s="34" t="n">
        <v>28.25</v>
      </c>
      <c r="H1277" s="33" t="n">
        <v>69</v>
      </c>
      <c r="I1277" s="34" t="n">
        <f aca="false">G1277*((100-H1277)/100)</f>
        <v>8.7575</v>
      </c>
      <c r="J1277" s="35"/>
      <c r="K1277" s="36" t="n">
        <f aca="false">+F1277*J1277</f>
        <v>0</v>
      </c>
      <c r="L1277" s="37" t="n">
        <f aca="false">I1277*K1277</f>
        <v>0</v>
      </c>
    </row>
    <row r="1278" customFormat="false" ht="15" hidden="false" customHeight="false" outlineLevel="0" collapsed="false">
      <c r="A1278" s="32" t="s">
        <v>2483</v>
      </c>
      <c r="B1278" s="32" t="s">
        <v>23</v>
      </c>
      <c r="C1278" s="32" t="s">
        <v>2484</v>
      </c>
      <c r="D1278" s="32" t="s">
        <v>2480</v>
      </c>
      <c r="E1278" s="33" t="n">
        <v>8430942332211</v>
      </c>
      <c r="F1278" s="33" t="n">
        <v>1</v>
      </c>
      <c r="G1278" s="34" t="n">
        <v>19.95</v>
      </c>
      <c r="H1278" s="33" t="n">
        <v>69</v>
      </c>
      <c r="I1278" s="34" t="n">
        <f aca="false">G1278*((100-H1278)/100)</f>
        <v>6.1845</v>
      </c>
      <c r="J1278" s="35"/>
      <c r="K1278" s="36" t="n">
        <f aca="false">+F1278*J1278</f>
        <v>0</v>
      </c>
      <c r="L1278" s="37" t="n">
        <f aca="false">I1278*K1278</f>
        <v>0</v>
      </c>
    </row>
    <row r="1279" customFormat="false" ht="15" hidden="false" customHeight="false" outlineLevel="0" collapsed="false">
      <c r="A1279" s="32" t="s">
        <v>2485</v>
      </c>
      <c r="B1279" s="32" t="s">
        <v>23</v>
      </c>
      <c r="C1279" s="32" t="s">
        <v>2486</v>
      </c>
      <c r="D1279" s="32" t="s">
        <v>2480</v>
      </c>
      <c r="E1279" s="33" t="n">
        <v>8430942332228</v>
      </c>
      <c r="F1279" s="33" t="n">
        <v>1</v>
      </c>
      <c r="G1279" s="34" t="n">
        <v>28.25</v>
      </c>
      <c r="H1279" s="33" t="n">
        <v>69</v>
      </c>
      <c r="I1279" s="34" t="n">
        <f aca="false">G1279*((100-H1279)/100)</f>
        <v>8.7575</v>
      </c>
      <c r="J1279" s="35"/>
      <c r="K1279" s="36" t="n">
        <f aca="false">+F1279*J1279</f>
        <v>0</v>
      </c>
      <c r="L1279" s="37" t="n">
        <f aca="false">I1279*K1279</f>
        <v>0</v>
      </c>
    </row>
    <row r="1280" customFormat="false" ht="15" hidden="false" customHeight="false" outlineLevel="0" collapsed="false">
      <c r="A1280" s="32" t="s">
        <v>2487</v>
      </c>
      <c r="B1280" s="32" t="s">
        <v>23</v>
      </c>
      <c r="C1280" s="32" t="s">
        <v>2488</v>
      </c>
      <c r="D1280" s="32" t="s">
        <v>2480</v>
      </c>
      <c r="E1280" s="33" t="n">
        <v>8430942332242</v>
      </c>
      <c r="F1280" s="33" t="n">
        <v>1</v>
      </c>
      <c r="G1280" s="34" t="n">
        <v>40.23</v>
      </c>
      <c r="H1280" s="33" t="n">
        <v>69</v>
      </c>
      <c r="I1280" s="34" t="n">
        <f aca="false">G1280*((100-H1280)/100)</f>
        <v>12.4713</v>
      </c>
      <c r="J1280" s="35"/>
      <c r="K1280" s="36" t="n">
        <f aca="false">+F1280*J1280</f>
        <v>0</v>
      </c>
      <c r="L1280" s="37" t="n">
        <f aca="false">I1280*K1280</f>
        <v>0</v>
      </c>
    </row>
    <row r="1281" customFormat="false" ht="15" hidden="false" customHeight="false" outlineLevel="0" collapsed="false">
      <c r="A1281" s="32" t="s">
        <v>2489</v>
      </c>
      <c r="B1281" s="32" t="s">
        <v>23</v>
      </c>
      <c r="C1281" s="32" t="s">
        <v>2490</v>
      </c>
      <c r="D1281" s="32" t="s">
        <v>2480</v>
      </c>
      <c r="E1281" s="33" t="n">
        <v>8430942332259</v>
      </c>
      <c r="F1281" s="33" t="n">
        <v>1</v>
      </c>
      <c r="G1281" s="34" t="n">
        <v>40.23</v>
      </c>
      <c r="H1281" s="33" t="n">
        <v>69</v>
      </c>
      <c r="I1281" s="34" t="n">
        <f aca="false">G1281*((100-H1281)/100)</f>
        <v>12.4713</v>
      </c>
      <c r="J1281" s="35"/>
      <c r="K1281" s="36" t="n">
        <f aca="false">+F1281*J1281</f>
        <v>0</v>
      </c>
      <c r="L1281" s="37" t="n">
        <f aca="false">I1281*K1281</f>
        <v>0</v>
      </c>
    </row>
    <row r="1282" customFormat="false" ht="15" hidden="false" customHeight="false" outlineLevel="0" collapsed="false">
      <c r="A1282" s="32" t="s">
        <v>2491</v>
      </c>
      <c r="B1282" s="32" t="s">
        <v>23</v>
      </c>
      <c r="C1282" s="32" t="s">
        <v>2492</v>
      </c>
      <c r="D1282" s="32" t="s">
        <v>2493</v>
      </c>
      <c r="E1282" s="33" t="n">
        <v>8430942327408</v>
      </c>
      <c r="F1282" s="33" t="n">
        <v>1</v>
      </c>
      <c r="G1282" s="34" t="n">
        <v>3.2</v>
      </c>
      <c r="H1282" s="33" t="n">
        <v>69</v>
      </c>
      <c r="I1282" s="34" t="n">
        <f aca="false">G1282*((100-H1282)/100)</f>
        <v>0.992</v>
      </c>
      <c r="J1282" s="35"/>
      <c r="K1282" s="36" t="n">
        <f aca="false">+F1282*J1282</f>
        <v>0</v>
      </c>
      <c r="L1282" s="37" t="n">
        <f aca="false">I1282*K1282</f>
        <v>0</v>
      </c>
    </row>
    <row r="1283" customFormat="false" ht="15" hidden="false" customHeight="false" outlineLevel="0" collapsed="false">
      <c r="A1283" s="32" t="s">
        <v>2494</v>
      </c>
      <c r="B1283" s="32" t="s">
        <v>23</v>
      </c>
      <c r="C1283" s="32" t="s">
        <v>2495</v>
      </c>
      <c r="D1283" s="32" t="s">
        <v>2493</v>
      </c>
      <c r="E1283" s="33" t="n">
        <v>8430942327415</v>
      </c>
      <c r="F1283" s="33" t="n">
        <v>1</v>
      </c>
      <c r="G1283" s="34" t="n">
        <v>11.2</v>
      </c>
      <c r="H1283" s="33" t="n">
        <v>69</v>
      </c>
      <c r="I1283" s="34" t="n">
        <f aca="false">G1283*((100-H1283)/100)</f>
        <v>3.472</v>
      </c>
      <c r="J1283" s="35"/>
      <c r="K1283" s="36" t="n">
        <f aca="false">+F1283*J1283</f>
        <v>0</v>
      </c>
      <c r="L1283" s="37" t="n">
        <f aca="false">I1283*K1283</f>
        <v>0</v>
      </c>
    </row>
    <row r="1284" customFormat="false" ht="15" hidden="false" customHeight="false" outlineLevel="0" collapsed="false">
      <c r="A1284" s="32" t="s">
        <v>2496</v>
      </c>
      <c r="B1284" s="32" t="s">
        <v>23</v>
      </c>
      <c r="C1284" s="32" t="s">
        <v>2497</v>
      </c>
      <c r="D1284" s="32" t="s">
        <v>2493</v>
      </c>
      <c r="E1284" s="33" t="n">
        <v>8430942327422</v>
      </c>
      <c r="F1284" s="33" t="n">
        <v>1</v>
      </c>
      <c r="G1284" s="34" t="n">
        <v>4.1</v>
      </c>
      <c r="H1284" s="33" t="n">
        <v>69</v>
      </c>
      <c r="I1284" s="34" t="n">
        <f aca="false">G1284*((100-H1284)/100)</f>
        <v>1.271</v>
      </c>
      <c r="J1284" s="35"/>
      <c r="K1284" s="36" t="n">
        <f aca="false">+F1284*J1284</f>
        <v>0</v>
      </c>
      <c r="L1284" s="37" t="n">
        <f aca="false">I1284*K1284</f>
        <v>0</v>
      </c>
    </row>
    <row r="1285" customFormat="false" ht="15" hidden="false" customHeight="false" outlineLevel="0" collapsed="false">
      <c r="A1285" s="32" t="s">
        <v>2498</v>
      </c>
      <c r="B1285" s="32" t="s">
        <v>23</v>
      </c>
      <c r="C1285" s="32" t="s">
        <v>2499</v>
      </c>
      <c r="D1285" s="32" t="s">
        <v>2493</v>
      </c>
      <c r="E1285" s="33" t="n">
        <v>8430942327439</v>
      </c>
      <c r="F1285" s="33" t="n">
        <v>1</v>
      </c>
      <c r="G1285" s="34" t="n">
        <v>14</v>
      </c>
      <c r="H1285" s="33" t="n">
        <v>69</v>
      </c>
      <c r="I1285" s="34" t="n">
        <f aca="false">G1285*((100-H1285)/100)</f>
        <v>4.34</v>
      </c>
      <c r="J1285" s="35"/>
      <c r="K1285" s="36" t="n">
        <f aca="false">+F1285*J1285</f>
        <v>0</v>
      </c>
      <c r="L1285" s="37" t="n">
        <f aca="false">I1285*K1285</f>
        <v>0</v>
      </c>
    </row>
  </sheetData>
  <conditionalFormatting sqref="A151:A326">
    <cfRule type="duplicateValues" priority="2" aboveAverage="0" equalAverage="0" bottom="0" percent="0" rank="0" text="" dxfId="0"/>
  </conditionalFormatting>
  <conditionalFormatting sqref="A327:A382">
    <cfRule type="duplicateValues" priority="3" aboveAverage="0" equalAverage="0" bottom="0" percent="0" rank="0" text="" dxfId="1"/>
  </conditionalFormatting>
  <conditionalFormatting sqref="A383:A437">
    <cfRule type="duplicateValues" priority="4" aboveAverage="0" equalAverage="0" bottom="0" percent="0" rank="0" text="" dxfId="2"/>
  </conditionalFormatting>
  <conditionalFormatting sqref="A438:A648">
    <cfRule type="duplicateValues" priority="5" aboveAverage="0" equalAverage="0" bottom="0" percent="0" rank="0" text="" dxfId="3"/>
  </conditionalFormatting>
  <conditionalFormatting sqref="A649:A866">
    <cfRule type="duplicateValues" priority="6" aboveAverage="0" equalAverage="0" bottom="0" percent="0" rank="0" text="" dxfId="4"/>
  </conditionalFormatting>
  <conditionalFormatting sqref="A925:A940">
    <cfRule type="duplicateValues" priority="7" aboveAverage="0" equalAverage="0" bottom="0" percent="0" rank="0" text="" dxfId="5"/>
  </conditionalFormatting>
  <conditionalFormatting sqref="A941:A1264">
    <cfRule type="duplicateValues" priority="8" aboveAverage="0" equalAverage="0" bottom="0" percent="0" rank="0" text="" dxfId="6"/>
  </conditionalFormatting>
  <conditionalFormatting sqref="A1265:A1274">
    <cfRule type="duplicateValues" priority="9" aboveAverage="0" equalAverage="0" bottom="0" percent="0" rank="0" text="" dxfId="7"/>
  </conditionalFormatting>
  <conditionalFormatting sqref="A1275:A1285">
    <cfRule type="duplicateValues" priority="10" aboveAverage="0" equalAverage="0" bottom="0" percent="0" rank="0" text="" dxfId="8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2024-07-16T00:13:03Z</dcterms:created>
  <dc:creator/>
  <dc:description/>
  <dc:language>en-US</dc:language>
  <cp:lastModifiedBy/>
  <dcterms:modified xsi:type="dcterms:W3CDTF">2024-07-16T20:49:35Z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